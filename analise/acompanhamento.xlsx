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10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color rgb="FF8A8578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3" fillId="0" borderId="1" pivotButton="0" quotePrefix="0" xfId="0"/>
    <xf numFmtId="3" fontId="7" fillId="4" borderId="1" pivotButton="0" quotePrefix="0" xfId="0"/>
    <xf numFmtId="166" fontId="7" fillId="4" borderId="1" pivotButton="0" quotePrefix="0" xfId="0"/>
    <xf numFmtId="167" fontId="8" fillId="0" borderId="1" pivotButton="0" quotePrefix="0" xfId="0"/>
    <xf numFmtId="3" fontId="7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 t="n">
        <v>46254</v>
      </c>
      <c r="C8" s="9" t="inlineStr">
        <is>
          <t>Qui</t>
        </is>
      </c>
      <c r="D8" s="9" t="inlineStr">
        <is>
          <t>Farinha importada</t>
        </is>
      </c>
      <c r="E8" s="9" t="inlineStr">
        <is>
          <t>Opinião Impopular</t>
        </is>
      </c>
      <c r="F8" s="9" t="inlineStr">
        <is>
          <t>Card/Reels</t>
        </is>
      </c>
      <c r="G8" s="11" t="n">
        <v>2769</v>
      </c>
      <c r="H8" s="11" t="n">
        <v>20</v>
      </c>
      <c r="I8" s="11" t="n">
        <v>27</v>
      </c>
      <c r="J8" s="11" t="n">
        <v>3</v>
      </c>
      <c r="K8" s="11" t="n">
        <v>41</v>
      </c>
      <c r="L8" s="11" t="n">
        <v>9</v>
      </c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3">
        <f>$C$4+0</f>
        <v/>
      </c>
      <c r="C9" s="9" t="inlineStr">
        <is>
          <t>Ter</t>
        </is>
      </c>
      <c r="D9" s="9" t="inlineStr">
        <is>
          <t>65% de hidratação</t>
        </is>
      </c>
      <c r="E9" s="9" t="inlineStr">
        <is>
          <t>O Porquê do Número</t>
        </is>
      </c>
      <c r="F9" s="9" t="inlineStr">
        <is>
          <t>Carrossel</t>
        </is>
      </c>
      <c r="G9" s="14" t="n"/>
      <c r="H9" s="14" t="n"/>
      <c r="I9" s="14" t="n"/>
      <c r="J9" s="14" t="n"/>
      <c r="K9" s="14" t="n"/>
      <c r="L9" s="14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 t="n">
        <v>46260</v>
      </c>
      <c r="C10" s="9" t="inlineStr">
        <is>
          <t>Qua</t>
        </is>
      </c>
      <c r="D10" s="9" t="inlineStr">
        <is>
          <t>Pala e Pinsa, teglia e contemporânea</t>
        </is>
      </c>
      <c r="E10" s="9" t="inlineStr">
        <is>
          <t>Extra</t>
        </is>
      </c>
      <c r="F10" s="9" t="inlineStr">
        <is>
          <t>Reels</t>
        </is>
      </c>
      <c r="G10" s="14" t="n"/>
      <c r="H10" s="14" t="n"/>
      <c r="I10" s="14" t="n"/>
      <c r="J10" s="14" t="n"/>
      <c r="K10" s="14" t="n"/>
      <c r="L10" s="14" t="n"/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3">
        <f>$C$4+4</f>
        <v/>
      </c>
      <c r="C11" s="9" t="inlineStr">
        <is>
          <t>Sáb</t>
        </is>
      </c>
      <c r="D11" s="9" t="inlineStr">
        <is>
          <t>Criação autoral</t>
        </is>
      </c>
      <c r="E11" s="9" t="inlineStr">
        <is>
          <t>Autoral</t>
        </is>
      </c>
      <c r="F11" s="9" t="inlineStr">
        <is>
          <t>Foto</t>
        </is>
      </c>
      <c r="G11" s="14" t="n"/>
      <c r="H11" s="14" t="n"/>
      <c r="I11" s="14" t="n"/>
      <c r="J11" s="14" t="n"/>
      <c r="K11" s="14" t="n"/>
      <c r="L11" s="14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3">
        <f>$C$4+5</f>
        <v/>
      </c>
      <c r="C12" s="9" t="inlineStr">
        <is>
          <t>Dom</t>
        </is>
      </c>
      <c r="D12" s="9" t="inlineStr">
        <is>
          <t>Ponto de véu</t>
        </is>
      </c>
      <c r="E12" s="9" t="inlineStr">
        <is>
          <t>O Porquê</t>
        </is>
      </c>
      <c r="F12" s="9" t="inlineStr">
        <is>
          <t>Reels</t>
        </is>
      </c>
      <c r="G12" s="14" t="n"/>
      <c r="H12" s="14" t="n"/>
      <c r="I12" s="14" t="n"/>
      <c r="J12" s="14" t="n"/>
      <c r="K12" s="14" t="n"/>
      <c r="L12" s="14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3">
        <f>$C$4+7</f>
        <v/>
      </c>
      <c r="C13" s="9" t="inlineStr">
        <is>
          <t>Ter</t>
        </is>
      </c>
      <c r="D13" s="9" t="inlineStr">
        <is>
          <t>48h de maturação</t>
        </is>
      </c>
      <c r="E13" s="9" t="inlineStr">
        <is>
          <t>O Porquê do Número</t>
        </is>
      </c>
      <c r="F13" s="9" t="inlineStr">
        <is>
          <t>Carrossel</t>
        </is>
      </c>
      <c r="G13" s="14" t="n"/>
      <c r="H13" s="14" t="n"/>
      <c r="I13" s="14" t="n"/>
      <c r="J13" s="14" t="n"/>
      <c r="K13" s="14" t="n"/>
      <c r="L13" s="14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3">
        <f>$C$4+9</f>
        <v/>
      </c>
      <c r="C14" s="9" t="inlineStr">
        <is>
          <t>Qui</t>
        </is>
      </c>
      <c r="D14" s="9" t="inlineStr">
        <is>
          <t>24h contra 48h</t>
        </is>
      </c>
      <c r="E14" s="9" t="inlineStr">
        <is>
          <t>Uma Variável</t>
        </is>
      </c>
      <c r="F14" s="9" t="inlineStr">
        <is>
          <t>Carrossel</t>
        </is>
      </c>
      <c r="G14" s="14" t="n"/>
      <c r="H14" s="14" t="n"/>
      <c r="I14" s="14" t="n"/>
      <c r="J14" s="14" t="n"/>
      <c r="K14" s="14" t="n"/>
      <c r="L14" s="14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3">
        <f>$C$4+11</f>
        <v/>
      </c>
      <c r="C15" s="9" t="inlineStr">
        <is>
          <t>Sáb</t>
        </is>
      </c>
      <c r="D15" s="9" t="inlineStr">
        <is>
          <t>Cronograma de produção</t>
        </is>
      </c>
      <c r="E15" s="9" t="inlineStr">
        <is>
          <t>Bastidores</t>
        </is>
      </c>
      <c r="F15" s="9" t="inlineStr">
        <is>
          <t>Carrossel</t>
        </is>
      </c>
      <c r="G15" s="14" t="n"/>
      <c r="H15" s="14" t="n"/>
      <c r="I15" s="14" t="n"/>
      <c r="J15" s="14" t="n"/>
      <c r="K15" s="14" t="n"/>
      <c r="L15" s="14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3">
        <f>$C$4+12</f>
        <v/>
      </c>
      <c r="C16" s="9" t="inlineStr">
        <is>
          <t>Dom</t>
        </is>
      </c>
      <c r="D16" s="9" t="inlineStr">
        <is>
          <t>Temperatura da água</t>
        </is>
      </c>
      <c r="E16" s="9" t="inlineStr">
        <is>
          <t>O Porquê</t>
        </is>
      </c>
      <c r="F16" s="9" t="inlineStr">
        <is>
          <t>Reels</t>
        </is>
      </c>
      <c r="G16" s="14" t="n"/>
      <c r="H16" s="14" t="n"/>
      <c r="I16" s="14" t="n"/>
      <c r="J16" s="14" t="n"/>
      <c r="K16" s="14" t="n"/>
      <c r="L16" s="14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3">
        <f>$C$4+14</f>
        <v/>
      </c>
      <c r="C17" s="9" t="inlineStr">
        <is>
          <t>Ter</t>
        </is>
      </c>
      <c r="D17" s="9" t="inlineStr">
        <is>
          <t>W300, força da farinha</t>
        </is>
      </c>
      <c r="E17" s="9" t="inlineStr">
        <is>
          <t>O Porquê do Número</t>
        </is>
      </c>
      <c r="F17" s="9" t="inlineStr">
        <is>
          <t>Carrossel</t>
        </is>
      </c>
      <c r="G17" s="14" t="n"/>
      <c r="H17" s="14" t="n"/>
      <c r="I17" s="14" t="n"/>
      <c r="J17" s="14" t="n"/>
      <c r="K17" s="14" t="n"/>
      <c r="L17" s="14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3">
        <f>$C$4+16</f>
        <v/>
      </c>
      <c r="C18" s="9" t="inlineStr">
        <is>
          <t>Qui</t>
        </is>
      </c>
      <c r="D18" s="9" t="inlineStr">
        <is>
          <t>Forno caro</t>
        </is>
      </c>
      <c r="E18" s="9" t="inlineStr">
        <is>
          <t>Opinião Impopular</t>
        </is>
      </c>
      <c r="F18" s="9" t="inlineStr">
        <is>
          <t>Card/Reels</t>
        </is>
      </c>
      <c r="G18" s="14" t="n"/>
      <c r="H18" s="14" t="n"/>
      <c r="I18" s="14" t="n"/>
      <c r="J18" s="14" t="n"/>
      <c r="K18" s="14" t="n"/>
      <c r="L18" s="14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3">
        <f>$C$4+18</f>
        <v/>
      </c>
      <c r="C19" s="9" t="inlineStr">
        <is>
          <t>Sáb</t>
        </is>
      </c>
      <c r="D19" s="9" t="inlineStr">
        <is>
          <t>O erro que me custou caro</t>
        </is>
      </c>
      <c r="E19" s="9" t="inlineStr">
        <is>
          <t>O Erro</t>
        </is>
      </c>
      <c r="F19" s="9" t="inlineStr">
        <is>
          <t>Reels</t>
        </is>
      </c>
      <c r="G19" s="14" t="n"/>
      <c r="H19" s="14" t="n"/>
      <c r="I19" s="14" t="n"/>
      <c r="J19" s="14" t="n"/>
      <c r="K19" s="14" t="n"/>
      <c r="L19" s="14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3">
        <f>$C$4+19</f>
        <v/>
      </c>
      <c r="C20" s="9" t="inlineStr">
        <is>
          <t>Dom</t>
        </is>
      </c>
      <c r="D20" s="9" t="inlineStr">
        <is>
          <t>Biga contra poolish</t>
        </is>
      </c>
      <c r="E20" s="9" t="inlineStr">
        <is>
          <t>O Porquê</t>
        </is>
      </c>
      <c r="F20" s="9" t="inlineStr">
        <is>
          <t>Reels</t>
        </is>
      </c>
      <c r="G20" s="14" t="n"/>
      <c r="H20" s="14" t="n"/>
      <c r="I20" s="14" t="n"/>
      <c r="J20" s="14" t="n"/>
      <c r="K20" s="14" t="n"/>
      <c r="L20" s="14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3">
        <f>$C$4+21</f>
        <v/>
      </c>
      <c r="C21" s="9" t="inlineStr">
        <is>
          <t>Ter</t>
        </is>
      </c>
      <c r="D21" s="9" t="inlineStr">
        <is>
          <t>450°C no forno</t>
        </is>
      </c>
      <c r="E21" s="9" t="inlineStr">
        <is>
          <t>O Porquê do Número</t>
        </is>
      </c>
      <c r="F21" s="9" t="inlineStr">
        <is>
          <t>Carrossel</t>
        </is>
      </c>
      <c r="G21" s="14" t="n"/>
      <c r="H21" s="14" t="n"/>
      <c r="I21" s="14" t="n"/>
      <c r="J21" s="14" t="n"/>
      <c r="K21" s="14" t="n"/>
      <c r="L21" s="14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3">
        <f>$C$4+23</f>
        <v/>
      </c>
      <c r="C22" s="9" t="inlineStr">
        <is>
          <t>Qui</t>
        </is>
      </c>
      <c r="D22" s="9" t="inlineStr">
        <is>
          <t>60% contra 70%</t>
        </is>
      </c>
      <c r="E22" s="9" t="inlineStr">
        <is>
          <t>Uma Variável</t>
        </is>
      </c>
      <c r="F22" s="9" t="inlineStr">
        <is>
          <t>Carrossel</t>
        </is>
      </c>
      <c r="G22" s="14" t="n"/>
      <c r="H22" s="14" t="n"/>
      <c r="I22" s="14" t="n"/>
      <c r="J22" s="14" t="n"/>
      <c r="K22" s="14" t="n"/>
      <c r="L22" s="14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3">
        <f>$C$4+25</f>
        <v/>
      </c>
      <c r="C23" s="9" t="inlineStr">
        <is>
          <t>Sáb</t>
        </is>
      </c>
      <c r="D23" s="9" t="inlineStr">
        <is>
          <t>Aula, turmas em SP</t>
        </is>
      </c>
      <c r="E23" s="9" t="inlineStr">
        <is>
          <t>Formação</t>
        </is>
      </c>
      <c r="F23" s="9" t="inlineStr">
        <is>
          <t>Carrossel</t>
        </is>
      </c>
      <c r="G23" s="14" t="n"/>
      <c r="H23" s="14" t="n"/>
      <c r="I23" s="14" t="n"/>
      <c r="J23" s="14" t="n"/>
      <c r="K23" s="14" t="n"/>
      <c r="L23" s="14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4">
      <c r="A24" s="9" t="n">
        <v>17</v>
      </c>
      <c r="B24" s="13">
        <f>$C$4+26</f>
        <v/>
      </c>
      <c r="C24" s="9" t="inlineStr">
        <is>
          <t>Dom</t>
        </is>
      </c>
      <c r="D24" s="9" t="inlineStr">
        <is>
          <t>Os 3 números</t>
        </is>
      </c>
      <c r="E24" s="9" t="inlineStr">
        <is>
          <t>O Porquê</t>
        </is>
      </c>
      <c r="F24" s="9" t="inlineStr">
        <is>
          <t>Reels</t>
        </is>
      </c>
      <c r="G24" s="14" t="n"/>
      <c r="H24" s="14" t="n"/>
      <c r="I24" s="14" t="n"/>
      <c r="J24" s="14" t="n"/>
      <c r="K24" s="14" t="n"/>
      <c r="L24" s="14" t="n"/>
      <c r="M24" s="12">
        <f>IFERROR(H24/G24,"")</f>
        <v/>
      </c>
      <c r="N24" s="12">
        <f>IFERROR(L24/G24,"")</f>
        <v/>
      </c>
      <c r="O24" s="12">
        <f>IFERROR(K24/G24,"")</f>
        <v/>
      </c>
    </row>
    <row r="26">
      <c r="D26" s="3" t="inlineStr">
        <is>
          <t>MÉDIA DO MÊS</t>
        </is>
      </c>
      <c r="G26" s="15">
        <f>IFERROR(AVERAGE(G8:G24),"")</f>
        <v/>
      </c>
      <c r="H26" s="15">
        <f>IFERROR(AVERAGE(H8:H24),"")</f>
        <v/>
      </c>
      <c r="I26" s="15">
        <f>IFERROR(AVERAGE(I8:I24),"")</f>
        <v/>
      </c>
      <c r="J26" s="15">
        <f>IFERROR(AVERAGE(J8:J24),"")</f>
        <v/>
      </c>
      <c r="K26" s="15">
        <f>IFERROR(AVERAGE(K8:K24),"")</f>
        <v/>
      </c>
      <c r="L26" s="15">
        <f>IFERROR(AVERAGE(L8:L24),"")</f>
        <v/>
      </c>
      <c r="M26" s="16">
        <f>IFERROR(AVERAGE(M8:M24),"")</f>
        <v/>
      </c>
      <c r="N26" s="16">
        <f>IFERROR(AVERAGE(N8:N24),"")</f>
        <v/>
      </c>
      <c r="O26" s="16">
        <f>IFERROR(AVERAGE(O8:O24),"")</f>
        <v/>
      </c>
    </row>
    <row r="27">
      <c r="D27" s="2" t="inlineStr">
        <is>
          <t>Ponto de partida (agosto/26)</t>
        </is>
      </c>
      <c r="L27" s="2" t="n">
        <v>14</v>
      </c>
      <c r="N27" s="17" t="n">
        <v>0.003</v>
      </c>
      <c r="O27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8" t="inlineStr">
        <is>
          <t>Série</t>
        </is>
      </c>
      <c r="B4" s="18" t="inlineStr">
        <is>
          <t>Posts</t>
        </is>
      </c>
      <c r="C4" s="18" t="inlineStr">
        <is>
          <t>Alcance médio</t>
        </is>
      </c>
      <c r="D4" s="18" t="inlineStr">
        <is>
          <t>Salv./alcance</t>
        </is>
      </c>
      <c r="E4" s="18" t="inlineStr">
        <is>
          <t>Segui./alcance</t>
        </is>
      </c>
      <c r="F4" s="18" t="inlineStr">
        <is>
          <t>Seguidores no total</t>
        </is>
      </c>
    </row>
    <row r="5">
      <c r="A5" s="9" t="inlineStr">
        <is>
          <t>O Porquê do Número</t>
        </is>
      </c>
      <c r="B5" s="19">
        <f>COUNTIF(Acompanhamento!$E$8:$E$24,A5)</f>
        <v/>
      </c>
      <c r="C5" s="11">
        <f>IFERROR(AVERAGEIFS(Acompanhamento!$G$8:$G$24,Acompanhamento!$E$8:$E$24,A5),"")</f>
        <v/>
      </c>
      <c r="D5" s="12">
        <f>IFERROR(SUMIFS(Acompanhamento!$H$8:$H$24,Acompanhamento!$E$8:$E$24,A5)/SUMIFS(Acompanhamento!$G$8:$G$24,Acompanhamento!$E$8:$E$24,A5),"")</f>
        <v/>
      </c>
      <c r="E5" s="12">
        <f>IFERROR(SUMIFS(Acompanhamento!$L$8:$L$24,Acompanhamento!$E$8:$E$24,A5)/SUMIFS(Acompanhamento!$G$8:$G$24,Acompanhamento!$E$8:$E$24,A5),"")</f>
        <v/>
      </c>
      <c r="F5" s="11">
        <f>IFERROR(SUMIFS(Acompanhamento!$L$8:$L$24,Acompanhamento!$E$8:$E$24,A5),"")</f>
        <v/>
      </c>
    </row>
    <row r="6">
      <c r="A6" s="9" t="inlineStr">
        <is>
          <t>Opinião Impopular</t>
        </is>
      </c>
      <c r="B6" s="19">
        <f>COUNTIF(Acompanhamento!$E$8:$E$24,A6)</f>
        <v/>
      </c>
      <c r="C6" s="11">
        <f>IFERROR(AVERAGEIFS(Acompanhamento!$G$8:$G$24,Acompanhamento!$E$8:$E$24,A6),"")</f>
        <v/>
      </c>
      <c r="D6" s="12">
        <f>IFERROR(SUMIFS(Acompanhamento!$H$8:$H$24,Acompanhamento!$E$8:$E$24,A6)/SUMIFS(Acompanhamento!$G$8:$G$24,Acompanhamento!$E$8:$E$24,A6),"")</f>
        <v/>
      </c>
      <c r="E6" s="12">
        <f>IFERROR(SUMIFS(Acompanhamento!$L$8:$L$24,Acompanhamento!$E$8:$E$24,A6)/SUMIFS(Acompanhamento!$G$8:$G$24,Acompanhamento!$E$8:$E$24,A6),"")</f>
        <v/>
      </c>
      <c r="F6" s="11">
        <f>IFERROR(SUMIFS(Acompanhamento!$L$8:$L$24,Acompanhamento!$E$8:$E$24,A6),"")</f>
        <v/>
      </c>
    </row>
    <row r="7">
      <c r="A7" s="9" t="inlineStr">
        <is>
          <t>Uma Variável</t>
        </is>
      </c>
      <c r="B7" s="19">
        <f>COUNTIF(Acompanhamento!$E$8:$E$24,A7)</f>
        <v/>
      </c>
      <c r="C7" s="11">
        <f>IFERROR(AVERAGEIFS(Acompanhamento!$G$8:$G$24,Acompanhamento!$E$8:$E$24,A7),"")</f>
        <v/>
      </c>
      <c r="D7" s="12">
        <f>IFERROR(SUMIFS(Acompanhamento!$H$8:$H$24,Acompanhamento!$E$8:$E$24,A7)/SUMIFS(Acompanhamento!$G$8:$G$24,Acompanhamento!$E$8:$E$24,A7),"")</f>
        <v/>
      </c>
      <c r="E7" s="12">
        <f>IFERROR(SUMIFS(Acompanhamento!$L$8:$L$24,Acompanhamento!$E$8:$E$24,A7)/SUMIFS(Acompanhamento!$G$8:$G$24,Acompanhamento!$E$8:$E$24,A7),"")</f>
        <v/>
      </c>
      <c r="F7" s="11">
        <f>IFERROR(SUMIFS(Acompanhamento!$L$8:$L$24,Acompanhamento!$E$8:$E$24,A7),"")</f>
        <v/>
      </c>
    </row>
    <row r="8">
      <c r="A8" s="9" t="inlineStr">
        <is>
          <t>O Porquê</t>
        </is>
      </c>
      <c r="B8" s="19">
        <f>COUNTIF(Acompanhamento!$E$8:$E$24,A8)</f>
        <v/>
      </c>
      <c r="C8" s="11">
        <f>IFERROR(AVERAGEIFS(Acompanhamento!$G$8:$G$24,Acompanhamento!$E$8:$E$24,A8),"")</f>
        <v/>
      </c>
      <c r="D8" s="12">
        <f>IFERROR(SUMIFS(Acompanhamento!$H$8:$H$24,Acompanhamento!$E$8:$E$24,A8)/SUMIFS(Acompanhamento!$G$8:$G$24,Acompanhamento!$E$8:$E$24,A8),"")</f>
        <v/>
      </c>
      <c r="E8" s="12">
        <f>IFERROR(SUMIFS(Acompanhamento!$L$8:$L$24,Acompanhamento!$E$8:$E$24,A8)/SUMIFS(Acompanhamento!$G$8:$G$24,Acompanhamento!$E$8:$E$24,A8),"")</f>
        <v/>
      </c>
      <c r="F8" s="11">
        <f>IFERROR(SUMIFS(Acompanhamento!$L$8:$L$24,Acompanhamento!$E$8:$E$24,A8),"")</f>
        <v/>
      </c>
    </row>
    <row r="9">
      <c r="A9" s="9" t="inlineStr">
        <is>
          <t>Autoral</t>
        </is>
      </c>
      <c r="B9" s="19">
        <f>COUNTIF(Acompanhamento!$E$8:$E$24,A9)</f>
        <v/>
      </c>
      <c r="C9" s="11">
        <f>IFERROR(AVERAGEIFS(Acompanhamento!$G$8:$G$24,Acompanhamento!$E$8:$E$24,A9),"")</f>
        <v/>
      </c>
      <c r="D9" s="12">
        <f>IFERROR(SUMIFS(Acompanhamento!$H$8:$H$24,Acompanhamento!$E$8:$E$24,A9)/SUMIFS(Acompanhamento!$G$8:$G$24,Acompanhamento!$E$8:$E$24,A9),"")</f>
        <v/>
      </c>
      <c r="E9" s="12">
        <f>IFERROR(SUMIFS(Acompanhamento!$L$8:$L$24,Acompanhamento!$E$8:$E$24,A9)/SUMIFS(Acompanhamento!$G$8:$G$24,Acompanhamento!$E$8:$E$24,A9),"")</f>
        <v/>
      </c>
      <c r="F9" s="11">
        <f>IFERROR(SUMIFS(Acompanhamento!$L$8:$L$24,Acompanhamento!$E$8:$E$24,A9),"")</f>
        <v/>
      </c>
    </row>
    <row r="10">
      <c r="A10" s="9" t="inlineStr">
        <is>
          <t>Bastidores</t>
        </is>
      </c>
      <c r="B10" s="19">
        <f>COUNTIF(Acompanhamento!$E$8:$E$24,A10)</f>
        <v/>
      </c>
      <c r="C10" s="11">
        <f>IFERROR(AVERAGEIFS(Acompanhamento!$G$8:$G$24,Acompanhamento!$E$8:$E$24,A10),"")</f>
        <v/>
      </c>
      <c r="D10" s="12">
        <f>IFERROR(SUMIFS(Acompanhamento!$H$8:$H$24,Acompanhamento!$E$8:$E$24,A10)/SUMIFS(Acompanhamento!$G$8:$G$24,Acompanhamento!$E$8:$E$24,A10),"")</f>
        <v/>
      </c>
      <c r="E10" s="12">
        <f>IFERROR(SUMIFS(Acompanhamento!$L$8:$L$24,Acompanhamento!$E$8:$E$24,A10)/SUMIFS(Acompanhamento!$G$8:$G$24,Acompanhamento!$E$8:$E$24,A10),"")</f>
        <v/>
      </c>
      <c r="F10" s="11">
        <f>IFERROR(SUMIFS(Acompanhamento!$L$8:$L$24,Acompanhamento!$E$8:$E$24,A10),"")</f>
        <v/>
      </c>
    </row>
    <row r="11">
      <c r="A11" s="9" t="inlineStr">
        <is>
          <t>O Erro</t>
        </is>
      </c>
      <c r="B11" s="19">
        <f>COUNTIF(Acompanhamento!$E$8:$E$24,A11)</f>
        <v/>
      </c>
      <c r="C11" s="11">
        <f>IFERROR(AVERAGEIFS(Acompanhamento!$G$8:$G$24,Acompanhamento!$E$8:$E$24,A11),"")</f>
        <v/>
      </c>
      <c r="D11" s="12">
        <f>IFERROR(SUMIFS(Acompanhamento!$H$8:$H$24,Acompanhamento!$E$8:$E$24,A11)/SUMIFS(Acompanhamento!$G$8:$G$24,Acompanhamento!$E$8:$E$24,A11),"")</f>
        <v/>
      </c>
      <c r="E11" s="12">
        <f>IFERROR(SUMIFS(Acompanhamento!$L$8:$L$24,Acompanhamento!$E$8:$E$24,A11)/SUMIFS(Acompanhamento!$G$8:$G$24,Acompanhamento!$E$8:$E$24,A11),"")</f>
        <v/>
      </c>
      <c r="F11" s="11">
        <f>IFERROR(SUMIFS(Acompanhamento!$L$8:$L$24,Acompanhamento!$E$8:$E$24,A11),"")</f>
        <v/>
      </c>
    </row>
    <row r="12">
      <c r="A12" s="9" t="inlineStr">
        <is>
          <t>Formação</t>
        </is>
      </c>
      <c r="B12" s="19">
        <f>COUNTIF(Acompanhamento!$E$8:$E$24,A12)</f>
        <v/>
      </c>
      <c r="C12" s="11">
        <f>IFERROR(AVERAGEIFS(Acompanhamento!$G$8:$G$24,Acompanhamento!$E$8:$E$24,A12),"")</f>
        <v/>
      </c>
      <c r="D12" s="12">
        <f>IFERROR(SUMIFS(Acompanhamento!$H$8:$H$24,Acompanhamento!$E$8:$E$24,A12)/SUMIFS(Acompanhamento!$G$8:$G$24,Acompanhamento!$E$8:$E$24,A12),"")</f>
        <v/>
      </c>
      <c r="E12" s="12">
        <f>IFERROR(SUMIFS(Acompanhamento!$L$8:$L$24,Acompanhamento!$E$8:$E$24,A12)/SUMIFS(Acompanhamento!$G$8:$G$24,Acompanhamento!$E$8:$E$24,A12),"")</f>
        <v/>
      </c>
      <c r="F12" s="11">
        <f>IFERROR(SUMIFS(Acompanhamento!$L$8:$L$24,Acompanhamento!$E$8:$E$24,A12),"")</f>
        <v/>
      </c>
    </row>
    <row r="13">
      <c r="A13" s="9" t="inlineStr">
        <is>
          <t>Extra</t>
        </is>
      </c>
      <c r="B13" s="19">
        <f>COUNTIF(Acompanhamento!$E$8:$E$24,A13)</f>
        <v/>
      </c>
      <c r="C13" s="11">
        <f>IFERROR(AVERAGEIFS(Acompanhamento!$G$8:$G$24,Acompanhamento!$E$8:$E$24,A13),"")</f>
        <v/>
      </c>
      <c r="D13" s="12">
        <f>IFERROR(SUMIFS(Acompanhamento!$H$8:$H$24,Acompanhamento!$E$8:$E$24,A13)/SUMIFS(Acompanhamento!$G$8:$G$24,Acompanhamento!$E$8:$E$24,A13),"")</f>
        <v/>
      </c>
      <c r="E13" s="12">
        <f>IFERROR(SUMIFS(Acompanhamento!$L$8:$L$24,Acompanhamento!$E$8:$E$24,A13)/SUMIFS(Acompanhamento!$G$8:$G$24,Acompanhamento!$E$8:$E$24,A13),"")</f>
        <v/>
      </c>
      <c r="F13" s="11">
        <f>IFERROR(SUMIFS(Acompanhamento!$L$8:$L$24,Acompanhamento!$E$8:$E$24,A13),"")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20" t="n"/>
    </row>
    <row r="4">
      <c r="A4" s="21" t="inlineStr">
        <is>
          <t>Salv./alcance</t>
        </is>
      </c>
      <c r="B4" s="22" t="inlineStr">
        <is>
          <t>O indicador mais importante aqui. Conteúdo educativo bom é salvo, e salvamento é o sinal mais forte que existe pro algoritmo reentregar.</t>
        </is>
      </c>
    </row>
    <row r="5">
      <c r="B5" s="22" t="inlineStr">
        <is>
          <t>Abaixo de 1%: o post informou mas não foi útil o suficiente pra guardar.</t>
        </is>
      </c>
    </row>
    <row r="6">
      <c r="B6" s="22" t="inlineStr">
        <is>
          <t>1% a 3%: bom. É a faixa que sustenta crescimento.</t>
        </is>
      </c>
    </row>
    <row r="7">
      <c r="B7" s="22" t="inlineStr">
        <is>
          <t>Acima de 3%: repita o formato. Achou uma veia.</t>
        </is>
      </c>
    </row>
    <row r="8">
      <c r="B8" s="20" t="n"/>
    </row>
    <row r="9">
      <c r="A9" s="21" t="inlineStr">
        <is>
          <t>Segui./alcance</t>
        </is>
      </c>
      <c r="B9" s="22" t="inlineStr">
        <is>
          <t>A conversão. É o número que responde se o post fez a pessoa querer ficar.</t>
        </is>
      </c>
    </row>
    <row r="10">
      <c r="B10" s="22" t="inlineStr">
        <is>
          <t>Hoje o perfil está abaixo de 0,3%, calculado sobre 49.900 views e o histórico de 14 seguidores por post.</t>
        </is>
      </c>
    </row>
    <row r="11">
      <c r="B11" s="22" t="inlineStr">
        <is>
          <t>A meta dos 30 dias é dobrar isso. Chegando em 1% com o mesmo alcance de hoje, são cerca de 500 seguidores por mês.</t>
        </is>
      </c>
    </row>
    <row r="12">
      <c r="B12" s="20" t="n"/>
    </row>
    <row r="13">
      <c r="A13" s="21" t="inlineStr">
        <is>
          <t>Visitas/alcance</t>
        </is>
      </c>
      <c r="B13" s="22" t="inlineStr">
        <is>
          <t>Intenção. A pessoa viu o post e foi conferir o perfil.</t>
        </is>
      </c>
    </row>
    <row r="14">
      <c r="B14" s="22" t="inlineStr">
        <is>
          <t>Visita alta com conversão baixa significa que o post funciona e o perfil não segura. Aí o problema é bio e fixados, não conteúdo.</t>
        </is>
      </c>
    </row>
    <row r="15">
      <c r="B15" s="20" t="n"/>
    </row>
    <row r="16">
      <c r="A16" s="21" t="inlineStr">
        <is>
          <t>Comentários</t>
        </is>
      </c>
      <c r="B16" s="22" t="inlineStr">
        <is>
          <t>Não entra no cálculo de retenção, mas é o que mais empurra alcance. Espere Opinião Impopular liderar aqui.</t>
        </is>
      </c>
    </row>
    <row r="17">
      <c r="B17" s="20" t="n"/>
    </row>
    <row r="18">
      <c r="A18" s="21" t="inlineStr">
        <is>
          <t>Onde achar</t>
        </is>
      </c>
      <c r="B18" s="22" t="inlineStr">
        <is>
          <t>Instagram, abre o post, toca em Ver insights. Reels mostra também tempo médio de visualização, que vale anotar à parte.</t>
        </is>
      </c>
    </row>
    <row r="19">
      <c r="B19" s="20" t="n"/>
    </row>
    <row r="20">
      <c r="A20" s="21" t="inlineStr">
        <is>
          <t>Quando analisar</t>
        </is>
      </c>
      <c r="B20" s="22" t="inlineStr">
        <is>
          <t>Espere 72 horas depois de publicar antes de anotar, porque o post continua rodando. Compare só depois de 8 posts, que é quando o padrão aparece.</t>
        </is>
      </c>
    </row>
    <row r="21">
      <c r="B21" s="20" t="n"/>
    </row>
    <row r="22">
      <c r="A22" s="21" t="inlineStr">
        <is>
          <t>O que a análise decide</t>
        </is>
      </c>
      <c r="B22" s="22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2026-08-26T20:21:24Z</dcterms:created>
  <dcterms:modified xsi:type="dcterms:W3CDTF">2026-08-26T20:21:24Z</dcterms:modified>
</cp:coreProperties>
</file>