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mpanhamento" sheetId="1" state="visible" r:id="rId1"/>
    <sheet name="Por série" sheetId="2" state="visible" r:id="rId2"/>
    <sheet name="Como 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dd/mm"/>
  </numFmts>
  <fonts count="10">
    <font>
      <name val="Calibri"/>
      <family val="2"/>
      <color theme="1"/>
      <sz val="11"/>
      <scheme val="minor"/>
    </font>
    <font>
      <name val="Arial"/>
      <b val="1"/>
      <color rgb="FF1B1A17"/>
      <sz val="14"/>
    </font>
    <font>
      <name val="Arial"/>
      <i val="1"/>
      <color rgb="FF8A8578"/>
      <sz val="10"/>
    </font>
    <font>
      <name val="Arial"/>
      <b val="1"/>
      <sz val="10"/>
    </font>
    <font>
      <name val="Arial"/>
      <b val="1"/>
      <color rgb="FF0000FF"/>
      <sz val="10"/>
    </font>
    <font>
      <name val="Arial"/>
      <i val="1"/>
      <color rgb="FF8A8578"/>
      <sz val="9"/>
    </font>
    <font>
      <name val="Arial"/>
      <b val="1"/>
      <color rgb="FFFFFFFF"/>
      <sz val="10"/>
    </font>
    <font>
      <name val="Arial"/>
      <sz val="10"/>
    </font>
    <font>
      <name val="Arial"/>
      <color rgb="FF8A8578"/>
      <sz val="10"/>
    </font>
    <font>
      <name val="Arial"/>
      <b val="1"/>
      <color rgb="FF33503F"/>
      <sz val="10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33503F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D0CCC0"/>
      </left>
      <right style="thin">
        <color rgb="FFD0CCC0"/>
      </right>
      <top style="thin">
        <color rgb="FFD0CCC0"/>
      </top>
      <bottom style="thin">
        <color rgb="FFD0CC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6" fontId="5" fillId="4" borderId="1" pivotButton="0" quotePrefix="0" xfId="0"/>
    <xf numFmtId="0" fontId="7" fillId="0" borderId="1" pivotButton="0" quotePrefix="0" xfId="0"/>
    <xf numFmtId="167" fontId="3" fillId="0" borderId="1" pivotButton="0" quotePrefix="0" xfId="0"/>
    <xf numFmtId="3" fontId="7" fillId="4" borderId="1" pivotButton="0" quotePrefix="0" xfId="0"/>
    <xf numFmtId="166" fontId="7" fillId="4" borderId="1" pivotButton="0" quotePrefix="0" xfId="0"/>
    <xf numFmtId="167" fontId="8" fillId="0" borderId="1" pivotButton="0" quotePrefix="0" xfId="0"/>
    <xf numFmtId="3" fontId="7" fillId="2" borderId="1" pivotButton="0" quotePrefix="0" xfId="0"/>
    <xf numFmtId="3" fontId="3" fillId="0" borderId="1" pivotButton="0" quotePrefix="0" xfId="0"/>
    <xf numFmtId="166" fontId="3" fillId="0" borderId="1" pivotButton="0" quotePrefix="0" xfId="0"/>
    <xf numFmtId="166" fontId="2" fillId="0" borderId="0" pivotButton="0" quotePrefix="0" xfId="0"/>
    <xf numFmtId="0" fontId="6" fillId="3" borderId="1" applyAlignment="1" pivotButton="0" quotePrefix="0" xfId="0">
      <alignment horizontal="center" wrapText="1"/>
    </xf>
    <xf numFmtId="0" fontId="7" fillId="4" borderId="1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30" customWidth="1" min="4" max="4"/>
    <col width="22" customWidth="1" min="5" max="5"/>
    <col width="13" customWidth="1" min="6" max="6"/>
    <col width="11" customWidth="1" min="7" max="7"/>
    <col width="10" customWidth="1" min="8" max="8"/>
    <col width="10" customWidth="1" min="9" max="9"/>
    <col width="10" customWidth="1" min="10" max="10"/>
    <col width="14" customWidth="1" min="11" max="11"/>
    <col width="12" customWidth="1" min="12" max="12"/>
    <col width="14" customWidth="1" min="13" max="13"/>
    <col width="15" customWidth="1" min="14" max="14"/>
    <col width="15" customWidth="1" min="15" max="15"/>
  </cols>
  <sheetData>
    <row r="1">
      <c r="A1" s="1" t="inlineStr">
        <is>
          <t>Acompanhamento de posts · @matheus__ramos</t>
        </is>
      </c>
    </row>
    <row r="2">
      <c r="A2" s="2" t="inlineStr">
        <is>
          <t>Preencha só as células amarelas, com os números do Insights de cada post. As cinzas se calculam sozinhas.</t>
        </is>
      </c>
    </row>
    <row r="4">
      <c r="A4" s="3" t="inlineStr">
        <is>
          <t>Data da primeira terça:</t>
        </is>
      </c>
      <c r="C4" s="4" t="n">
        <v>46259</v>
      </c>
      <c r="D4" s="5" t="inlineStr">
        <is>
          <t>← troque por quando você começar. As 16 datas se ajustam.</t>
        </is>
      </c>
    </row>
    <row r="6" ht="30" customHeight="1">
      <c r="A6" s="6" t="inlineStr">
        <is>
          <t>#</t>
        </is>
      </c>
      <c r="B6" s="6" t="inlineStr">
        <is>
          <t>Data</t>
        </is>
      </c>
      <c r="C6" s="6" t="inlineStr">
        <is>
          <t>Dia</t>
        </is>
      </c>
      <c r="D6" s="6" t="inlineStr">
        <is>
          <t>Peça</t>
        </is>
      </c>
      <c r="E6" s="6" t="inlineStr">
        <is>
          <t>Série</t>
        </is>
      </c>
      <c r="F6" s="6" t="inlineStr">
        <is>
          <t>Formato</t>
        </is>
      </c>
      <c r="G6" s="6" t="inlineStr">
        <is>
          <t>Alcance</t>
        </is>
      </c>
      <c r="H6" s="6" t="inlineStr">
        <is>
          <t>Salvam.</t>
        </is>
      </c>
      <c r="I6" s="6" t="inlineStr">
        <is>
          <t>Compart.</t>
        </is>
      </c>
      <c r="J6" s="6" t="inlineStr">
        <is>
          <t>Coment.</t>
        </is>
      </c>
      <c r="K6" s="6" t="inlineStr">
        <is>
          <t>Visitas perfil</t>
        </is>
      </c>
      <c r="L6" s="6" t="inlineStr">
        <is>
          <t>Seguidores</t>
        </is>
      </c>
      <c r="M6" s="6" t="inlineStr">
        <is>
          <t>Salv./alcance</t>
        </is>
      </c>
      <c r="N6" s="6" t="inlineStr">
        <is>
          <t>Segui./alcance</t>
        </is>
      </c>
      <c r="O6" s="6" t="inlineStr">
        <is>
          <t>Visitas/alcance</t>
        </is>
      </c>
    </row>
    <row r="7">
      <c r="A7" s="5" t="inlineStr">
        <is>
          <t>ex</t>
        </is>
      </c>
      <c r="B7" s="7" t="inlineStr"/>
      <c r="C7" s="7" t="inlineStr"/>
      <c r="D7" s="7" t="inlineStr">
        <is>
          <t>EXEMPLO (apague)</t>
        </is>
      </c>
      <c r="E7" s="7" t="inlineStr"/>
      <c r="F7" s="7" t="inlineStr"/>
      <c r="G7" s="7" t="n">
        <v>3200</v>
      </c>
      <c r="H7" s="7" t="n">
        <v>86</v>
      </c>
      <c r="I7" s="7" t="n">
        <v>24</v>
      </c>
      <c r="J7" s="7" t="n">
        <v>19</v>
      </c>
      <c r="K7" s="7" t="n">
        <v>140</v>
      </c>
      <c r="L7" s="7" t="n">
        <v>31</v>
      </c>
      <c r="M7" s="8">
        <f>IFERROR(H7/G7,"")</f>
        <v/>
      </c>
      <c r="N7" s="8">
        <f>IFERROR(L7/G7,"")</f>
        <v/>
      </c>
      <c r="O7" s="8">
        <f>IFERROR(K7/G7,"")</f>
        <v/>
      </c>
    </row>
    <row r="8">
      <c r="A8" s="9" t="n">
        <v>1</v>
      </c>
      <c r="B8" s="10" t="n">
        <v>46254</v>
      </c>
      <c r="C8" s="9" t="inlineStr">
        <is>
          <t>Qui</t>
        </is>
      </c>
      <c r="D8" s="9" t="inlineStr">
        <is>
          <t>Farinha importada</t>
        </is>
      </c>
      <c r="E8" s="9" t="inlineStr">
        <is>
          <t>Opinião Impopular</t>
        </is>
      </c>
      <c r="F8" s="9" t="inlineStr">
        <is>
          <t>Card/Reels</t>
        </is>
      </c>
      <c r="G8" s="11" t="n">
        <v>2769</v>
      </c>
      <c r="H8" s="11" t="n">
        <v>20</v>
      </c>
      <c r="I8" s="11" t="n">
        <v>27</v>
      </c>
      <c r="J8" s="11" t="n">
        <v>3</v>
      </c>
      <c r="K8" s="11" t="n">
        <v>41</v>
      </c>
      <c r="L8" s="11" t="n">
        <v>9</v>
      </c>
      <c r="M8" s="12">
        <f>IFERROR(H8/G8,"")</f>
        <v/>
      </c>
      <c r="N8" s="12">
        <f>IFERROR(L8/G8,"")</f>
        <v/>
      </c>
      <c r="O8" s="12">
        <f>IFERROR(K8/G8,"")</f>
        <v/>
      </c>
    </row>
    <row r="9">
      <c r="A9" s="9" t="n">
        <v>2</v>
      </c>
      <c r="B9" s="10" t="n">
        <v>46260</v>
      </c>
      <c r="C9" s="9" t="inlineStr">
        <is>
          <t>Qua</t>
        </is>
      </c>
      <c r="D9" s="9" t="inlineStr">
        <is>
          <t>Pala e Pinsa, teglia e contemporânea</t>
        </is>
      </c>
      <c r="E9" s="9" t="inlineStr">
        <is>
          <t>Extra</t>
        </is>
      </c>
      <c r="F9" s="9" t="inlineStr">
        <is>
          <t>Reels</t>
        </is>
      </c>
      <c r="G9" s="11" t="n">
        <v>2705</v>
      </c>
      <c r="H9" s="11" t="n">
        <v>7</v>
      </c>
      <c r="I9" s="11" t="n">
        <v>5</v>
      </c>
      <c r="J9" s="11" t="n">
        <v>9</v>
      </c>
      <c r="K9" s="11" t="n">
        <v>8</v>
      </c>
      <c r="L9" s="11" t="n">
        <v>2</v>
      </c>
      <c r="M9" s="12">
        <f>IFERROR(H9/G9,"")</f>
        <v/>
      </c>
      <c r="N9" s="12">
        <f>IFERROR(L9/G9,"")</f>
        <v/>
      </c>
      <c r="O9" s="12">
        <f>IFERROR(K9/G9,"")</f>
        <v/>
      </c>
    </row>
    <row r="10">
      <c r="A10" s="9" t="n">
        <v>3</v>
      </c>
      <c r="B10" s="13">
        <f>$C$4+4</f>
        <v/>
      </c>
      <c r="C10" s="9" t="inlineStr">
        <is>
          <t>Sáb</t>
        </is>
      </c>
      <c r="D10" s="9" t="inlineStr">
        <is>
          <t>Criação autoral</t>
        </is>
      </c>
      <c r="E10" s="9" t="inlineStr">
        <is>
          <t>Autoral</t>
        </is>
      </c>
      <c r="F10" s="9" t="inlineStr">
        <is>
          <t>Foto</t>
        </is>
      </c>
      <c r="G10" s="14" t="n"/>
      <c r="H10" s="14" t="n"/>
      <c r="I10" s="14" t="n"/>
      <c r="J10" s="14" t="n"/>
      <c r="K10" s="14" t="n"/>
      <c r="L10" s="14" t="n"/>
      <c r="M10" s="12">
        <f>IFERROR(H10/G10,"")</f>
        <v/>
      </c>
      <c r="N10" s="12">
        <f>IFERROR(L10/G10,"")</f>
        <v/>
      </c>
      <c r="O10" s="12">
        <f>IFERROR(K10/G10,"")</f>
        <v/>
      </c>
    </row>
    <row r="11">
      <c r="A11" s="9" t="n">
        <v>4</v>
      </c>
      <c r="B11" s="13">
        <f>$C$4+5</f>
        <v/>
      </c>
      <c r="C11" s="9" t="inlineStr">
        <is>
          <t>Dom</t>
        </is>
      </c>
      <c r="D11" s="9" t="inlineStr">
        <is>
          <t>Ponto de véu</t>
        </is>
      </c>
      <c r="E11" s="9" t="inlineStr">
        <is>
          <t>O Porquê</t>
        </is>
      </c>
      <c r="F11" s="9" t="inlineStr">
        <is>
          <t>Reels</t>
        </is>
      </c>
      <c r="G11" s="14" t="n"/>
      <c r="H11" s="14" t="n"/>
      <c r="I11" s="14" t="n"/>
      <c r="J11" s="14" t="n"/>
      <c r="K11" s="14" t="n"/>
      <c r="L11" s="14" t="n"/>
      <c r="M11" s="12">
        <f>IFERROR(H11/G11,"")</f>
        <v/>
      </c>
      <c r="N11" s="12">
        <f>IFERROR(L11/G11,"")</f>
        <v/>
      </c>
      <c r="O11" s="12">
        <f>IFERROR(K11/G11,"")</f>
        <v/>
      </c>
    </row>
    <row r="12">
      <c r="A12" s="9" t="n">
        <v>5</v>
      </c>
      <c r="B12" s="10" t="n">
        <v>46266</v>
      </c>
      <c r="C12" s="9" t="inlineStr">
        <is>
          <t>Ter</t>
        </is>
      </c>
      <c r="D12" s="9" t="inlineStr">
        <is>
          <t>75% de hidratação</t>
        </is>
      </c>
      <c r="E12" s="9" t="inlineStr">
        <is>
          <t>O Porquê do Número</t>
        </is>
      </c>
      <c r="F12" s="9" t="inlineStr">
        <is>
          <t>Carrossel</t>
        </is>
      </c>
      <c r="G12" s="14" t="n"/>
      <c r="H12" s="14" t="n"/>
      <c r="I12" s="14" t="n"/>
      <c r="J12" s="14" t="n"/>
      <c r="K12" s="14" t="n"/>
      <c r="L12" s="14" t="n"/>
      <c r="M12" s="12">
        <f>IFERROR(H12/G12,"")</f>
        <v/>
      </c>
      <c r="N12" s="12">
        <f>IFERROR(L12/G12,"")</f>
        <v/>
      </c>
      <c r="O12" s="12">
        <f>IFERROR(K12/G12,"")</f>
        <v/>
      </c>
    </row>
    <row r="13">
      <c r="A13" s="9" t="n">
        <v>6</v>
      </c>
      <c r="B13" s="13">
        <f>$C$4+7</f>
        <v/>
      </c>
      <c r="C13" s="9" t="inlineStr">
        <is>
          <t>Ter</t>
        </is>
      </c>
      <c r="D13" s="9" t="inlineStr">
        <is>
          <t>48h de maturação</t>
        </is>
      </c>
      <c r="E13" s="9" t="inlineStr">
        <is>
          <t>O Porquê do Número</t>
        </is>
      </c>
      <c r="F13" s="9" t="inlineStr">
        <is>
          <t>Carrossel</t>
        </is>
      </c>
      <c r="G13" s="14" t="n"/>
      <c r="H13" s="14" t="n"/>
      <c r="I13" s="14" t="n"/>
      <c r="J13" s="14" t="n"/>
      <c r="K13" s="14" t="n"/>
      <c r="L13" s="14" t="n"/>
      <c r="M13" s="12">
        <f>IFERROR(H13/G13,"")</f>
        <v/>
      </c>
      <c r="N13" s="12">
        <f>IFERROR(L13/G13,"")</f>
        <v/>
      </c>
      <c r="O13" s="12">
        <f>IFERROR(K13/G13,"")</f>
        <v/>
      </c>
    </row>
    <row r="14">
      <c r="A14" s="9" t="n">
        <v>7</v>
      </c>
      <c r="B14" s="13">
        <f>$C$4+9</f>
        <v/>
      </c>
      <c r="C14" s="9" t="inlineStr">
        <is>
          <t>Qui</t>
        </is>
      </c>
      <c r="D14" s="9" t="inlineStr">
        <is>
          <t>24h contra 48h</t>
        </is>
      </c>
      <c r="E14" s="9" t="inlineStr">
        <is>
          <t>Uma Variável</t>
        </is>
      </c>
      <c r="F14" s="9" t="inlineStr">
        <is>
          <t>Carrossel</t>
        </is>
      </c>
      <c r="G14" s="14" t="n"/>
      <c r="H14" s="14" t="n"/>
      <c r="I14" s="14" t="n"/>
      <c r="J14" s="14" t="n"/>
      <c r="K14" s="14" t="n"/>
      <c r="L14" s="14" t="n"/>
      <c r="M14" s="12">
        <f>IFERROR(H14/G14,"")</f>
        <v/>
      </c>
      <c r="N14" s="12">
        <f>IFERROR(L14/G14,"")</f>
        <v/>
      </c>
      <c r="O14" s="12">
        <f>IFERROR(K14/G14,"")</f>
        <v/>
      </c>
    </row>
    <row r="15">
      <c r="A15" s="9" t="n">
        <v>8</v>
      </c>
      <c r="B15" s="13">
        <f>$C$4+11</f>
        <v/>
      </c>
      <c r="C15" s="9" t="inlineStr">
        <is>
          <t>Sáb</t>
        </is>
      </c>
      <c r="D15" s="9" t="inlineStr">
        <is>
          <t>Cronograma de produção</t>
        </is>
      </c>
      <c r="E15" s="9" t="inlineStr">
        <is>
          <t>Bastidores</t>
        </is>
      </c>
      <c r="F15" s="9" t="inlineStr">
        <is>
          <t>Carrossel</t>
        </is>
      </c>
      <c r="G15" s="14" t="n"/>
      <c r="H15" s="14" t="n"/>
      <c r="I15" s="14" t="n"/>
      <c r="J15" s="14" t="n"/>
      <c r="K15" s="14" t="n"/>
      <c r="L15" s="14" t="n"/>
      <c r="M15" s="12">
        <f>IFERROR(H15/G15,"")</f>
        <v/>
      </c>
      <c r="N15" s="12">
        <f>IFERROR(L15/G15,"")</f>
        <v/>
      </c>
      <c r="O15" s="12">
        <f>IFERROR(K15/G15,"")</f>
        <v/>
      </c>
    </row>
    <row r="16">
      <c r="A16" s="9" t="n">
        <v>9</v>
      </c>
      <c r="B16" s="13">
        <f>$C$4+12</f>
        <v/>
      </c>
      <c r="C16" s="9" t="inlineStr">
        <is>
          <t>Dom</t>
        </is>
      </c>
      <c r="D16" s="9" t="inlineStr">
        <is>
          <t>Temperatura da água</t>
        </is>
      </c>
      <c r="E16" s="9" t="inlineStr">
        <is>
          <t>O Porquê</t>
        </is>
      </c>
      <c r="F16" s="9" t="inlineStr">
        <is>
          <t>Reels</t>
        </is>
      </c>
      <c r="G16" s="14" t="n"/>
      <c r="H16" s="14" t="n"/>
      <c r="I16" s="14" t="n"/>
      <c r="J16" s="14" t="n"/>
      <c r="K16" s="14" t="n"/>
      <c r="L16" s="14" t="n"/>
      <c r="M16" s="12">
        <f>IFERROR(H16/G16,"")</f>
        <v/>
      </c>
      <c r="N16" s="12">
        <f>IFERROR(L16/G16,"")</f>
        <v/>
      </c>
      <c r="O16" s="12">
        <f>IFERROR(K16/G16,"")</f>
        <v/>
      </c>
    </row>
    <row r="17">
      <c r="A17" s="9" t="n">
        <v>10</v>
      </c>
      <c r="B17" s="13">
        <f>$C$4+14</f>
        <v/>
      </c>
      <c r="C17" s="9" t="inlineStr">
        <is>
          <t>Ter</t>
        </is>
      </c>
      <c r="D17" s="9" t="inlineStr">
        <is>
          <t>W300, força da farinha</t>
        </is>
      </c>
      <c r="E17" s="9" t="inlineStr">
        <is>
          <t>O Porquê do Número</t>
        </is>
      </c>
      <c r="F17" s="9" t="inlineStr">
        <is>
          <t>Carrossel</t>
        </is>
      </c>
      <c r="G17" s="14" t="n"/>
      <c r="H17" s="14" t="n"/>
      <c r="I17" s="14" t="n"/>
      <c r="J17" s="14" t="n"/>
      <c r="K17" s="14" t="n"/>
      <c r="L17" s="14" t="n"/>
      <c r="M17" s="12">
        <f>IFERROR(H17/G17,"")</f>
        <v/>
      </c>
      <c r="N17" s="12">
        <f>IFERROR(L17/G17,"")</f>
        <v/>
      </c>
      <c r="O17" s="12">
        <f>IFERROR(K17/G17,"")</f>
        <v/>
      </c>
    </row>
    <row r="18">
      <c r="A18" s="9" t="n">
        <v>11</v>
      </c>
      <c r="B18" s="13">
        <f>$C$4+16</f>
        <v/>
      </c>
      <c r="C18" s="9" t="inlineStr">
        <is>
          <t>Qui</t>
        </is>
      </c>
      <c r="D18" s="9" t="inlineStr">
        <is>
          <t>Forno caro</t>
        </is>
      </c>
      <c r="E18" s="9" t="inlineStr">
        <is>
          <t>Opinião Impopular</t>
        </is>
      </c>
      <c r="F18" s="9" t="inlineStr">
        <is>
          <t>Card/Reels</t>
        </is>
      </c>
      <c r="G18" s="14" t="n"/>
      <c r="H18" s="14" t="n"/>
      <c r="I18" s="14" t="n"/>
      <c r="J18" s="14" t="n"/>
      <c r="K18" s="14" t="n"/>
      <c r="L18" s="14" t="n"/>
      <c r="M18" s="12">
        <f>IFERROR(H18/G18,"")</f>
        <v/>
      </c>
      <c r="N18" s="12">
        <f>IFERROR(L18/G18,"")</f>
        <v/>
      </c>
      <c r="O18" s="12">
        <f>IFERROR(K18/G18,"")</f>
        <v/>
      </c>
    </row>
    <row r="19">
      <c r="A19" s="9" t="n">
        <v>12</v>
      </c>
      <c r="B19" s="13">
        <f>$C$4+18</f>
        <v/>
      </c>
      <c r="C19" s="9" t="inlineStr">
        <is>
          <t>Sáb</t>
        </is>
      </c>
      <c r="D19" s="9" t="inlineStr">
        <is>
          <t>O erro que me custou caro</t>
        </is>
      </c>
      <c r="E19" s="9" t="inlineStr">
        <is>
          <t>O Erro</t>
        </is>
      </c>
      <c r="F19" s="9" t="inlineStr">
        <is>
          <t>Reels</t>
        </is>
      </c>
      <c r="G19" s="14" t="n"/>
      <c r="H19" s="14" t="n"/>
      <c r="I19" s="14" t="n"/>
      <c r="J19" s="14" t="n"/>
      <c r="K19" s="14" t="n"/>
      <c r="L19" s="14" t="n"/>
      <c r="M19" s="12">
        <f>IFERROR(H19/G19,"")</f>
        <v/>
      </c>
      <c r="N19" s="12">
        <f>IFERROR(L19/G19,"")</f>
        <v/>
      </c>
      <c r="O19" s="12">
        <f>IFERROR(K19/G19,"")</f>
        <v/>
      </c>
    </row>
    <row r="20">
      <c r="A20" s="9" t="n">
        <v>13</v>
      </c>
      <c r="B20" s="13">
        <f>$C$4+19</f>
        <v/>
      </c>
      <c r="C20" s="9" t="inlineStr">
        <is>
          <t>Dom</t>
        </is>
      </c>
      <c r="D20" s="9" t="inlineStr">
        <is>
          <t>Biga contra poolish</t>
        </is>
      </c>
      <c r="E20" s="9" t="inlineStr">
        <is>
          <t>O Porquê</t>
        </is>
      </c>
      <c r="F20" s="9" t="inlineStr">
        <is>
          <t>Reels</t>
        </is>
      </c>
      <c r="G20" s="14" t="n"/>
      <c r="H20" s="14" t="n"/>
      <c r="I20" s="14" t="n"/>
      <c r="J20" s="14" t="n"/>
      <c r="K20" s="14" t="n"/>
      <c r="L20" s="14" t="n"/>
      <c r="M20" s="12">
        <f>IFERROR(H20/G20,"")</f>
        <v/>
      </c>
      <c r="N20" s="12">
        <f>IFERROR(L20/G20,"")</f>
        <v/>
      </c>
      <c r="O20" s="12">
        <f>IFERROR(K20/G20,"")</f>
        <v/>
      </c>
    </row>
    <row r="21">
      <c r="A21" s="9" t="n">
        <v>14</v>
      </c>
      <c r="B21" s="13">
        <f>$C$4+21</f>
        <v/>
      </c>
      <c r="C21" s="9" t="inlineStr">
        <is>
          <t>Ter</t>
        </is>
      </c>
      <c r="D21" s="9" t="inlineStr">
        <is>
          <t>450°C no forno</t>
        </is>
      </c>
      <c r="E21" s="9" t="inlineStr">
        <is>
          <t>O Porquê do Número</t>
        </is>
      </c>
      <c r="F21" s="9" t="inlineStr">
        <is>
          <t>Carrossel</t>
        </is>
      </c>
      <c r="G21" s="14" t="n"/>
      <c r="H21" s="14" t="n"/>
      <c r="I21" s="14" t="n"/>
      <c r="J21" s="14" t="n"/>
      <c r="K21" s="14" t="n"/>
      <c r="L21" s="14" t="n"/>
      <c r="M21" s="12">
        <f>IFERROR(H21/G21,"")</f>
        <v/>
      </c>
      <c r="N21" s="12">
        <f>IFERROR(L21/G21,"")</f>
        <v/>
      </c>
      <c r="O21" s="12">
        <f>IFERROR(K21/G21,"")</f>
        <v/>
      </c>
    </row>
    <row r="22">
      <c r="A22" s="9" t="n">
        <v>15</v>
      </c>
      <c r="B22" s="13">
        <f>$C$4+23</f>
        <v/>
      </c>
      <c r="C22" s="9" t="inlineStr">
        <is>
          <t>Qui</t>
        </is>
      </c>
      <c r="D22" s="9" t="inlineStr">
        <is>
          <t>60% contra 70%</t>
        </is>
      </c>
      <c r="E22" s="9" t="inlineStr">
        <is>
          <t>Uma Variável</t>
        </is>
      </c>
      <c r="F22" s="9" t="inlineStr">
        <is>
          <t>Carrossel</t>
        </is>
      </c>
      <c r="G22" s="14" t="n"/>
      <c r="H22" s="14" t="n"/>
      <c r="I22" s="14" t="n"/>
      <c r="J22" s="14" t="n"/>
      <c r="K22" s="14" t="n"/>
      <c r="L22" s="14" t="n"/>
      <c r="M22" s="12">
        <f>IFERROR(H22/G22,"")</f>
        <v/>
      </c>
      <c r="N22" s="12">
        <f>IFERROR(L22/G22,"")</f>
        <v/>
      </c>
      <c r="O22" s="12">
        <f>IFERROR(K22/G22,"")</f>
        <v/>
      </c>
    </row>
    <row r="23">
      <c r="A23" s="9" t="n">
        <v>16</v>
      </c>
      <c r="B23" s="13">
        <f>$C$4+25</f>
        <v/>
      </c>
      <c r="C23" s="9" t="inlineStr">
        <is>
          <t>Sáb</t>
        </is>
      </c>
      <c r="D23" s="9" t="inlineStr">
        <is>
          <t>Aula, turmas em SP</t>
        </is>
      </c>
      <c r="E23" s="9" t="inlineStr">
        <is>
          <t>Formação</t>
        </is>
      </c>
      <c r="F23" s="9" t="inlineStr">
        <is>
          <t>Carrossel</t>
        </is>
      </c>
      <c r="G23" s="14" t="n"/>
      <c r="H23" s="14" t="n"/>
      <c r="I23" s="14" t="n"/>
      <c r="J23" s="14" t="n"/>
      <c r="K23" s="14" t="n"/>
      <c r="L23" s="14" t="n"/>
      <c r="M23" s="12">
        <f>IFERROR(H23/G23,"")</f>
        <v/>
      </c>
      <c r="N23" s="12">
        <f>IFERROR(L23/G23,"")</f>
        <v/>
      </c>
      <c r="O23" s="12">
        <f>IFERROR(K23/G23,"")</f>
        <v/>
      </c>
    </row>
    <row r="24">
      <c r="A24" s="9" t="n">
        <v>17</v>
      </c>
      <c r="B24" s="13">
        <f>$C$4+26</f>
        <v/>
      </c>
      <c r="C24" s="9" t="inlineStr">
        <is>
          <t>Dom</t>
        </is>
      </c>
      <c r="D24" s="9" t="inlineStr">
        <is>
          <t>Os 3 números</t>
        </is>
      </c>
      <c r="E24" s="9" t="inlineStr">
        <is>
          <t>O Porquê</t>
        </is>
      </c>
      <c r="F24" s="9" t="inlineStr">
        <is>
          <t>Reels</t>
        </is>
      </c>
      <c r="G24" s="14" t="n"/>
      <c r="H24" s="14" t="n"/>
      <c r="I24" s="14" t="n"/>
      <c r="J24" s="14" t="n"/>
      <c r="K24" s="14" t="n"/>
      <c r="L24" s="14" t="n"/>
      <c r="M24" s="12">
        <f>IFERROR(H24/G24,"")</f>
        <v/>
      </c>
      <c r="N24" s="12">
        <f>IFERROR(L24/G24,"")</f>
        <v/>
      </c>
      <c r="O24" s="12">
        <f>IFERROR(K24/G24,"")</f>
        <v/>
      </c>
    </row>
    <row r="26">
      <c r="D26" s="3" t="inlineStr">
        <is>
          <t>MÉDIA DO MÊS</t>
        </is>
      </c>
      <c r="G26" s="15">
        <f>IFERROR(AVERAGE(G8:G24),"")</f>
        <v/>
      </c>
      <c r="H26" s="15">
        <f>IFERROR(AVERAGE(H8:H24),"")</f>
        <v/>
      </c>
      <c r="I26" s="15">
        <f>IFERROR(AVERAGE(I8:I24),"")</f>
        <v/>
      </c>
      <c r="J26" s="15">
        <f>IFERROR(AVERAGE(J8:J24),"")</f>
        <v/>
      </c>
      <c r="K26" s="15">
        <f>IFERROR(AVERAGE(K8:K24),"")</f>
        <v/>
      </c>
      <c r="L26" s="15">
        <f>IFERROR(AVERAGE(L8:L24),"")</f>
        <v/>
      </c>
      <c r="M26" s="16">
        <f>IFERROR(AVERAGE(M8:M24),"")</f>
        <v/>
      </c>
      <c r="N26" s="16">
        <f>IFERROR(AVERAGE(N8:N24),"")</f>
        <v/>
      </c>
      <c r="O26" s="16">
        <f>IFERROR(AVERAGE(O8:O24),"")</f>
        <v/>
      </c>
    </row>
    <row r="27">
      <c r="D27" s="2" t="inlineStr">
        <is>
          <t>Ponto de partida (agosto/26)</t>
        </is>
      </c>
      <c r="L27" s="2" t="n">
        <v>14</v>
      </c>
      <c r="N27" s="17" t="n">
        <v>0.003</v>
      </c>
      <c r="O27" s="5" t="inlineStr">
        <is>
          <t>← a meta é dobrar esta coluna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Qual série retém mais</t>
        </is>
      </c>
    </row>
    <row r="2">
      <c r="A2" s="2" t="inlineStr">
        <is>
          <t>Tudo aqui se calcula da aba Acompanhamento. Não preencha nada.</t>
        </is>
      </c>
    </row>
    <row r="4" ht="28" customHeight="1">
      <c r="A4" s="18" t="inlineStr">
        <is>
          <t>Série</t>
        </is>
      </c>
      <c r="B4" s="18" t="inlineStr">
        <is>
          <t>Posts</t>
        </is>
      </c>
      <c r="C4" s="18" t="inlineStr">
        <is>
          <t>Alcance médio</t>
        </is>
      </c>
      <c r="D4" s="18" t="inlineStr">
        <is>
          <t>Salv./alcance</t>
        </is>
      </c>
      <c r="E4" s="18" t="inlineStr">
        <is>
          <t>Segui./alcance</t>
        </is>
      </c>
      <c r="F4" s="18" t="inlineStr">
        <is>
          <t>Seguidores no total</t>
        </is>
      </c>
    </row>
    <row r="5">
      <c r="A5" s="9" t="inlineStr">
        <is>
          <t>O Porquê do Número</t>
        </is>
      </c>
      <c r="B5" s="19">
        <f>COUNTIF(Acompanhamento!$E$8:$E$24,A5)</f>
        <v/>
      </c>
      <c r="C5" s="11">
        <f>IFERROR(AVERAGEIFS(Acompanhamento!$G$8:$G$24,Acompanhamento!$E$8:$E$24,A5),"")</f>
        <v/>
      </c>
      <c r="D5" s="12">
        <f>IFERROR(SUMIFS(Acompanhamento!$H$8:$H$24,Acompanhamento!$E$8:$E$24,A5)/SUMIFS(Acompanhamento!$G$8:$G$24,Acompanhamento!$E$8:$E$24,A5),"")</f>
        <v/>
      </c>
      <c r="E5" s="12">
        <f>IFERROR(SUMIFS(Acompanhamento!$L$8:$L$24,Acompanhamento!$E$8:$E$24,A5)/SUMIFS(Acompanhamento!$G$8:$G$24,Acompanhamento!$E$8:$E$24,A5),"")</f>
        <v/>
      </c>
      <c r="F5" s="11">
        <f>IFERROR(SUMIFS(Acompanhamento!$L$8:$L$24,Acompanhamento!$E$8:$E$24,A5),"")</f>
        <v/>
      </c>
    </row>
    <row r="6">
      <c r="A6" s="9" t="inlineStr">
        <is>
          <t>Opinião Impopular</t>
        </is>
      </c>
      <c r="B6" s="19">
        <f>COUNTIF(Acompanhamento!$E$8:$E$24,A6)</f>
        <v/>
      </c>
      <c r="C6" s="11">
        <f>IFERROR(AVERAGEIFS(Acompanhamento!$G$8:$G$24,Acompanhamento!$E$8:$E$24,A6),"")</f>
        <v/>
      </c>
      <c r="D6" s="12">
        <f>IFERROR(SUMIFS(Acompanhamento!$H$8:$H$24,Acompanhamento!$E$8:$E$24,A6)/SUMIFS(Acompanhamento!$G$8:$G$24,Acompanhamento!$E$8:$E$24,A6),"")</f>
        <v/>
      </c>
      <c r="E6" s="12">
        <f>IFERROR(SUMIFS(Acompanhamento!$L$8:$L$24,Acompanhamento!$E$8:$E$24,A6)/SUMIFS(Acompanhamento!$G$8:$G$24,Acompanhamento!$E$8:$E$24,A6),"")</f>
        <v/>
      </c>
      <c r="F6" s="11">
        <f>IFERROR(SUMIFS(Acompanhamento!$L$8:$L$24,Acompanhamento!$E$8:$E$24,A6),"")</f>
        <v/>
      </c>
    </row>
    <row r="7">
      <c r="A7" s="9" t="inlineStr">
        <is>
          <t>Uma Variável</t>
        </is>
      </c>
      <c r="B7" s="19">
        <f>COUNTIF(Acompanhamento!$E$8:$E$24,A7)</f>
        <v/>
      </c>
      <c r="C7" s="11">
        <f>IFERROR(AVERAGEIFS(Acompanhamento!$G$8:$G$24,Acompanhamento!$E$8:$E$24,A7),"")</f>
        <v/>
      </c>
      <c r="D7" s="12">
        <f>IFERROR(SUMIFS(Acompanhamento!$H$8:$H$24,Acompanhamento!$E$8:$E$24,A7)/SUMIFS(Acompanhamento!$G$8:$G$24,Acompanhamento!$E$8:$E$24,A7),"")</f>
        <v/>
      </c>
      <c r="E7" s="12">
        <f>IFERROR(SUMIFS(Acompanhamento!$L$8:$L$24,Acompanhamento!$E$8:$E$24,A7)/SUMIFS(Acompanhamento!$G$8:$G$24,Acompanhamento!$E$8:$E$24,A7),"")</f>
        <v/>
      </c>
      <c r="F7" s="11">
        <f>IFERROR(SUMIFS(Acompanhamento!$L$8:$L$24,Acompanhamento!$E$8:$E$24,A7),"")</f>
        <v/>
      </c>
    </row>
    <row r="8">
      <c r="A8" s="9" t="inlineStr">
        <is>
          <t>O Porquê</t>
        </is>
      </c>
      <c r="B8" s="19">
        <f>COUNTIF(Acompanhamento!$E$8:$E$24,A8)</f>
        <v/>
      </c>
      <c r="C8" s="11">
        <f>IFERROR(AVERAGEIFS(Acompanhamento!$G$8:$G$24,Acompanhamento!$E$8:$E$24,A8),"")</f>
        <v/>
      </c>
      <c r="D8" s="12">
        <f>IFERROR(SUMIFS(Acompanhamento!$H$8:$H$24,Acompanhamento!$E$8:$E$24,A8)/SUMIFS(Acompanhamento!$G$8:$G$24,Acompanhamento!$E$8:$E$24,A8),"")</f>
        <v/>
      </c>
      <c r="E8" s="12">
        <f>IFERROR(SUMIFS(Acompanhamento!$L$8:$L$24,Acompanhamento!$E$8:$E$24,A8)/SUMIFS(Acompanhamento!$G$8:$G$24,Acompanhamento!$E$8:$E$24,A8),"")</f>
        <v/>
      </c>
      <c r="F8" s="11">
        <f>IFERROR(SUMIFS(Acompanhamento!$L$8:$L$24,Acompanhamento!$E$8:$E$24,A8),"")</f>
        <v/>
      </c>
    </row>
    <row r="9">
      <c r="A9" s="9" t="inlineStr">
        <is>
          <t>Autoral</t>
        </is>
      </c>
      <c r="B9" s="19">
        <f>COUNTIF(Acompanhamento!$E$8:$E$24,A9)</f>
        <v/>
      </c>
      <c r="C9" s="11">
        <f>IFERROR(AVERAGEIFS(Acompanhamento!$G$8:$G$24,Acompanhamento!$E$8:$E$24,A9),"")</f>
        <v/>
      </c>
      <c r="D9" s="12">
        <f>IFERROR(SUMIFS(Acompanhamento!$H$8:$H$24,Acompanhamento!$E$8:$E$24,A9)/SUMIFS(Acompanhamento!$G$8:$G$24,Acompanhamento!$E$8:$E$24,A9),"")</f>
        <v/>
      </c>
      <c r="E9" s="12">
        <f>IFERROR(SUMIFS(Acompanhamento!$L$8:$L$24,Acompanhamento!$E$8:$E$24,A9)/SUMIFS(Acompanhamento!$G$8:$G$24,Acompanhamento!$E$8:$E$24,A9),"")</f>
        <v/>
      </c>
      <c r="F9" s="11">
        <f>IFERROR(SUMIFS(Acompanhamento!$L$8:$L$24,Acompanhamento!$E$8:$E$24,A9),"")</f>
        <v/>
      </c>
    </row>
    <row r="10">
      <c r="A10" s="9" t="inlineStr">
        <is>
          <t>Bastidores</t>
        </is>
      </c>
      <c r="B10" s="19">
        <f>COUNTIF(Acompanhamento!$E$8:$E$24,A10)</f>
        <v/>
      </c>
      <c r="C10" s="11">
        <f>IFERROR(AVERAGEIFS(Acompanhamento!$G$8:$G$24,Acompanhamento!$E$8:$E$24,A10),"")</f>
        <v/>
      </c>
      <c r="D10" s="12">
        <f>IFERROR(SUMIFS(Acompanhamento!$H$8:$H$24,Acompanhamento!$E$8:$E$24,A10)/SUMIFS(Acompanhamento!$G$8:$G$24,Acompanhamento!$E$8:$E$24,A10),"")</f>
        <v/>
      </c>
      <c r="E10" s="12">
        <f>IFERROR(SUMIFS(Acompanhamento!$L$8:$L$24,Acompanhamento!$E$8:$E$24,A10)/SUMIFS(Acompanhamento!$G$8:$G$24,Acompanhamento!$E$8:$E$24,A10),"")</f>
        <v/>
      </c>
      <c r="F10" s="11">
        <f>IFERROR(SUMIFS(Acompanhamento!$L$8:$L$24,Acompanhamento!$E$8:$E$24,A10),"")</f>
        <v/>
      </c>
    </row>
    <row r="11">
      <c r="A11" s="9" t="inlineStr">
        <is>
          <t>O Erro</t>
        </is>
      </c>
      <c r="B11" s="19">
        <f>COUNTIF(Acompanhamento!$E$8:$E$24,A11)</f>
        <v/>
      </c>
      <c r="C11" s="11">
        <f>IFERROR(AVERAGEIFS(Acompanhamento!$G$8:$G$24,Acompanhamento!$E$8:$E$24,A11),"")</f>
        <v/>
      </c>
      <c r="D11" s="12">
        <f>IFERROR(SUMIFS(Acompanhamento!$H$8:$H$24,Acompanhamento!$E$8:$E$24,A11)/SUMIFS(Acompanhamento!$G$8:$G$24,Acompanhamento!$E$8:$E$24,A11),"")</f>
        <v/>
      </c>
      <c r="E11" s="12">
        <f>IFERROR(SUMIFS(Acompanhamento!$L$8:$L$24,Acompanhamento!$E$8:$E$24,A11)/SUMIFS(Acompanhamento!$G$8:$G$24,Acompanhamento!$E$8:$E$24,A11),"")</f>
        <v/>
      </c>
      <c r="F11" s="11">
        <f>IFERROR(SUMIFS(Acompanhamento!$L$8:$L$24,Acompanhamento!$E$8:$E$24,A11),"")</f>
        <v/>
      </c>
    </row>
    <row r="12">
      <c r="A12" s="9" t="inlineStr">
        <is>
          <t>Formação</t>
        </is>
      </c>
      <c r="B12" s="19">
        <f>COUNTIF(Acompanhamento!$E$8:$E$24,A12)</f>
        <v/>
      </c>
      <c r="C12" s="11">
        <f>IFERROR(AVERAGEIFS(Acompanhamento!$G$8:$G$24,Acompanhamento!$E$8:$E$24,A12),"")</f>
        <v/>
      </c>
      <c r="D12" s="12">
        <f>IFERROR(SUMIFS(Acompanhamento!$H$8:$H$24,Acompanhamento!$E$8:$E$24,A12)/SUMIFS(Acompanhamento!$G$8:$G$24,Acompanhamento!$E$8:$E$24,A12),"")</f>
        <v/>
      </c>
      <c r="E12" s="12">
        <f>IFERROR(SUMIFS(Acompanhamento!$L$8:$L$24,Acompanhamento!$E$8:$E$24,A12)/SUMIFS(Acompanhamento!$G$8:$G$24,Acompanhamento!$E$8:$E$24,A12),"")</f>
        <v/>
      </c>
      <c r="F12" s="11">
        <f>IFERROR(SUMIFS(Acompanhamento!$L$8:$L$24,Acompanhamento!$E$8:$E$24,A12),"")</f>
        <v/>
      </c>
    </row>
    <row r="13">
      <c r="A13" s="9" t="inlineStr">
        <is>
          <t>Extra</t>
        </is>
      </c>
      <c r="B13" s="19">
        <f>COUNTIF(Acompanhamento!$E$8:$E$24,A13)</f>
        <v/>
      </c>
      <c r="C13" s="11">
        <f>IFERROR(AVERAGEIFS(Acompanhamento!$G$8:$G$24,Acompanhamento!$E$8:$E$24,A13),"")</f>
        <v/>
      </c>
      <c r="D13" s="12">
        <f>IFERROR(SUMIFS(Acompanhamento!$H$8:$H$24,Acompanhamento!$E$8:$E$24,A13)/SUMIFS(Acompanhamento!$G$8:$G$24,Acompanhamento!$E$8:$E$24,A13),"")</f>
        <v/>
      </c>
      <c r="E13" s="12">
        <f>IFERROR(SUMIFS(Acompanhamento!$L$8:$L$24,Acompanhamento!$E$8:$E$24,A13)/SUMIFS(Acompanhamento!$G$8:$G$24,Acompanhamento!$E$8:$E$24,A13),"")</f>
        <v/>
      </c>
      <c r="F13" s="11">
        <f>IFERROR(SUMIFS(Acompanhamento!$L$8:$L$24,Acompanhamento!$E$8:$E$24,A13),"")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" t="inlineStr">
        <is>
          <t>Como ler os números</t>
        </is>
      </c>
    </row>
    <row r="3">
      <c r="B3" s="20" t="n"/>
    </row>
    <row r="4">
      <c r="A4" s="21" t="inlineStr">
        <is>
          <t>Salv./alcance</t>
        </is>
      </c>
      <c r="B4" s="22" t="inlineStr">
        <is>
          <t>O indicador mais importante aqui. Conteúdo educativo bom é salvo, e salvamento é o sinal mais forte que existe pro algoritmo reentregar.</t>
        </is>
      </c>
    </row>
    <row r="5">
      <c r="B5" s="22" t="inlineStr">
        <is>
          <t>Abaixo de 1%: o post informou mas não foi útil o suficiente pra guardar.</t>
        </is>
      </c>
    </row>
    <row r="6">
      <c r="B6" s="22" t="inlineStr">
        <is>
          <t>1% a 3%: bom. É a faixa que sustenta crescimento.</t>
        </is>
      </c>
    </row>
    <row r="7">
      <c r="B7" s="22" t="inlineStr">
        <is>
          <t>Acima de 3%: repita o formato. Achou uma veia.</t>
        </is>
      </c>
    </row>
    <row r="8">
      <c r="B8" s="20" t="n"/>
    </row>
    <row r="9">
      <c r="A9" s="21" t="inlineStr">
        <is>
          <t>Segui./alcance</t>
        </is>
      </c>
      <c r="B9" s="22" t="inlineStr">
        <is>
          <t>A conversão. É o número que responde se o post fez a pessoa querer ficar.</t>
        </is>
      </c>
    </row>
    <row r="10">
      <c r="B10" s="22" t="inlineStr">
        <is>
          <t>Hoje o perfil está abaixo de 0,3%, calculado sobre 49.900 views e o histórico de 14 seguidores por post.</t>
        </is>
      </c>
    </row>
    <row r="11">
      <c r="B11" s="22" t="inlineStr">
        <is>
          <t>A meta dos 30 dias é dobrar isso. Chegando em 1% com o mesmo alcance de hoje, são cerca de 500 seguidores por mês.</t>
        </is>
      </c>
    </row>
    <row r="12">
      <c r="B12" s="20" t="n"/>
    </row>
    <row r="13">
      <c r="A13" s="21" t="inlineStr">
        <is>
          <t>Visitas/alcance</t>
        </is>
      </c>
      <c r="B13" s="22" t="inlineStr">
        <is>
          <t>Intenção. A pessoa viu o post e foi conferir o perfil.</t>
        </is>
      </c>
    </row>
    <row r="14">
      <c r="B14" s="22" t="inlineStr">
        <is>
          <t>Visita alta com conversão baixa significa que o post funciona e o perfil não segura. Aí o problema é bio e fixados, não conteúdo.</t>
        </is>
      </c>
    </row>
    <row r="15">
      <c r="B15" s="20" t="n"/>
    </row>
    <row r="16">
      <c r="A16" s="21" t="inlineStr">
        <is>
          <t>Comentários</t>
        </is>
      </c>
      <c r="B16" s="22" t="inlineStr">
        <is>
          <t>Não entra no cálculo de retenção, mas é o que mais empurra alcance. Espere Opinião Impopular liderar aqui.</t>
        </is>
      </c>
    </row>
    <row r="17">
      <c r="B17" s="20" t="n"/>
    </row>
    <row r="18">
      <c r="A18" s="21" t="inlineStr">
        <is>
          <t>Onde achar</t>
        </is>
      </c>
      <c r="B18" s="22" t="inlineStr">
        <is>
          <t>Instagram, abre o post, toca em Ver insights. Reels mostra também tempo médio de visualização, que vale anotar à parte.</t>
        </is>
      </c>
    </row>
    <row r="19">
      <c r="B19" s="20" t="n"/>
    </row>
    <row r="20">
      <c r="A20" s="21" t="inlineStr">
        <is>
          <t>Quando analisar</t>
        </is>
      </c>
      <c r="B20" s="22" t="inlineStr">
        <is>
          <t>Espere 72 horas depois de publicar antes de anotar, porque o post continua rodando. Compare só depois de 8 posts, que é quando o padrão aparece.</t>
        </is>
      </c>
    </row>
    <row r="21">
      <c r="B21" s="20" t="n"/>
    </row>
    <row r="22">
      <c r="A22" s="21" t="inlineStr">
        <is>
          <t>O que a análise decide</t>
        </is>
      </c>
      <c r="B22" s="22" t="inlineStr">
        <is>
          <t>No fim das 4 semanas, a aba Por série mostra qual formato retém mais. O mês seguinte se escreve em cima dessa resposta, não de palpite.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2026-09-01T16:56:33Z</dcterms:created>
  <dcterms:modified xsi:type="dcterms:W3CDTF">2026-09-01T16:56:33Z</dcterms:modified>
</cp:coreProperties>
</file>