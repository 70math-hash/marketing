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Campanhas" sheetId="2" state="visible" r:id="rId2"/>
    <sheet name="Semanal" sheetId="3" state="visible" r:id="rId3"/>
    <sheet name="Criativos" sheetId="4" state="visible" r:id="rId4"/>
    <sheet name="Checklist" sheetId="5" state="visible" r:id="rId5"/>
    <sheet name="Como ler" sheetId="6" state="visible" r:id="rId6"/>
  </sheets>
  <definedNames>
    <definedName name="ticket">Calculadora!$B$5</definedName>
    <definedName name="margem">Calculadora!$B$9</definedName>
    <definedName name="fator_tributo">Calculadora!$B$22</definedName>
    <definedName name="meta_conversa">Calculadora!$E$27</definedName>
    <definedName name="meta_pessoa">Calculadora!$C$29</definedName>
    <definedName name="empate_pessoa">Calculadora!$B$29</definedName>
    <definedName name="verba_reserva">Calculadora!$B$37</definedName>
    <definedName name="verba_vitrine">Calculadora!$B$38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R$&quot; #,##0.00;[Red]-&quot;R$&quot; #,##0.00;&quot;-&quot;"/>
    <numFmt numFmtId="165" formatCode="0.0%"/>
    <numFmt numFmtId="166" formatCode="0.0"/>
    <numFmt numFmtId="167" formatCode="0.0000"/>
    <numFmt numFmtId="168" formatCode="yyyy-mm-dd"/>
    <numFmt numFmtId="169" formatCode="dd/mm/yyyy"/>
    <numFmt numFmtId="170" formatCode="dd/mm"/>
  </numFmts>
  <fonts count="11">
    <font>
      <name val="Calibri"/>
      <family val="2"/>
      <color theme="1"/>
      <sz val="11"/>
      <scheme val="minor"/>
    </font>
    <font>
      <name val="Arial"/>
      <b val="1"/>
      <color rgb="FF1A1E1E"/>
      <sz val="14"/>
    </font>
    <font>
      <name val="Arial"/>
      <i val="1"/>
      <color rgb="FFA0A5A5"/>
      <sz val="10"/>
    </font>
    <font>
      <name val="Arial"/>
      <b val="1"/>
      <color rgb="FF1A1E1E"/>
      <sz val="11"/>
    </font>
    <font>
      <name val="Arial"/>
      <sz val="10"/>
    </font>
    <font>
      <name val="Arial"/>
      <color rgb="FF0000FF"/>
      <sz val="10"/>
    </font>
    <font>
      <name val="Arial"/>
      <i val="1"/>
      <color rgb="FFA0A5A5"/>
      <sz val="9"/>
    </font>
    <font>
      <name val="Arial"/>
      <b val="1"/>
      <sz val="10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A1E1E"/>
      <sz val="10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FECEC"/>
      </patternFill>
    </fill>
    <fill>
      <patternFill patternType="solid">
        <fgColor rgb="FF1A1E1E"/>
      </patternFill>
    </fill>
  </fills>
  <borders count="2">
    <border>
      <left/>
      <right/>
      <top/>
      <bottom/>
      <diagonal/>
    </border>
    <border>
      <left style="thin">
        <color rgb="FFD5D3D0"/>
      </left>
      <right style="thin">
        <color rgb="FFD5D3D0"/>
      </right>
      <top style="thin">
        <color rgb="FFD5D3D0"/>
      </top>
      <bottom style="thin">
        <color rgb="FFD5D3D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  <xf numFmtId="164" fontId="5" fillId="2" borderId="1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165" fontId="5" fillId="2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165" fontId="7" fillId="3" borderId="1" applyAlignment="1" pivotButton="0" quotePrefix="0" xfId="0">
      <alignment vertical="center"/>
    </xf>
    <xf numFmtId="164" fontId="7" fillId="3" borderId="1" applyAlignment="1" pivotButton="0" quotePrefix="0" xfId="0">
      <alignment vertical="center"/>
    </xf>
    <xf numFmtId="166" fontId="5" fillId="2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0" fontId="5" fillId="2" borderId="1" applyAlignment="1" pivotButton="0" quotePrefix="0" xfId="0">
      <alignment vertical="center"/>
    </xf>
    <xf numFmtId="167" fontId="4" fillId="3" borderId="1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vertical="center"/>
    </xf>
    <xf numFmtId="2" fontId="7" fillId="3" borderId="1" applyAlignment="1" pivotButton="0" quotePrefix="0" xfId="0">
      <alignment vertical="center"/>
    </xf>
    <xf numFmtId="165" fontId="4" fillId="3" borderId="1" applyAlignment="1" pivotButton="0" quotePrefix="0" xfId="0">
      <alignment vertical="center"/>
    </xf>
    <xf numFmtId="3" fontId="5" fillId="2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166" fontId="4" fillId="3" borderId="1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7" fillId="0" borderId="0" pivotButton="0" quotePrefix="0" xfId="0"/>
    <xf numFmtId="169" fontId="5" fillId="2" borderId="1" applyAlignment="1" pivotButton="0" quotePrefix="0" xfId="0">
      <alignment vertical="center"/>
    </xf>
    <xf numFmtId="0" fontId="6" fillId="0" borderId="0" pivotButton="0" quotePrefix="0" xfId="0"/>
    <xf numFmtId="0" fontId="6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2" fontId="6" fillId="0" borderId="1" pivotButton="0" quotePrefix="0" xfId="0"/>
    <xf numFmtId="164" fontId="6" fillId="3" borderId="1" pivotButton="0" quotePrefix="0" xfId="0"/>
    <xf numFmtId="10" fontId="6" fillId="3" borderId="1" pivotButton="0" quotePrefix="0" xfId="0"/>
    <xf numFmtId="165" fontId="6" fillId="3" borderId="1" pivotButton="0" quotePrefix="0" xfId="0"/>
    <xf numFmtId="2" fontId="6" fillId="3" borderId="1" pivotButton="0" quotePrefix="0" xfId="0"/>
    <xf numFmtId="0" fontId="6" fillId="3" borderId="1" pivotButton="0" quotePrefix="0" xfId="0"/>
    <xf numFmtId="0" fontId="4" fillId="0" borderId="1" pivotButton="0" quotePrefix="0" xfId="0"/>
    <xf numFmtId="170" fontId="4" fillId="0" borderId="1" pivotButton="0" quotePrefix="0" xfId="0"/>
    <xf numFmtId="2" fontId="5" fillId="2" borderId="1" applyAlignment="1" pivotButton="0" quotePrefix="0" xfId="0">
      <alignment vertical="center"/>
    </xf>
    <xf numFmtId="1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3" fontId="7" fillId="3" borderId="1" applyAlignment="1" pivotButton="0" quotePrefix="0" xfId="0">
      <alignment vertical="center"/>
    </xf>
    <xf numFmtId="10" fontId="7" fillId="3" borderId="1" applyAlignment="1" pivotButton="0" quotePrefix="0" xfId="0">
      <alignment vertical="center"/>
    </xf>
    <xf numFmtId="0" fontId="10" fillId="0" borderId="0" pivotButton="0" quotePrefix="0" xfId="0"/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2D4D0"/>
        </patternFill>
      </fill>
    </dxf>
    <dxf>
      <fill>
        <patternFill patternType="solid">
          <fgColor rgb="FFDDEBDD"/>
        </patternFill>
      </fill>
    </dxf>
    <dxf>
      <fill>
        <patternFill patternType="solid">
          <fgColor rgb="FFF6EB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1E1E"/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Calculadora · quanto a QT pode pagar por um cliente</t>
        </is>
      </c>
    </row>
    <row r="2">
      <c r="A2" s="2" t="inlineStr">
        <is>
          <t>Preencha só o amarelo. Os números que vêm preenchidos são exemplo, os mesmos da apostila: troque pelos da QT. O resto se calcula.</t>
        </is>
      </c>
    </row>
    <row r="4">
      <c r="A4" s="3" t="inlineStr">
        <is>
          <t>1 · A casa</t>
        </is>
      </c>
    </row>
    <row r="5" ht="26" customHeight="1">
      <c r="A5" s="4" t="inlineStr">
        <is>
          <t>Ticket médio por pessoa, sem os 13%</t>
        </is>
      </c>
      <c r="B5" s="5" t="n">
        <v>150</v>
      </c>
      <c r="C5" s="6" t="inlineStr">
        <is>
          <t>Exemplo. No Altec: faturamento sem serviço ÷ número de clientes. Os 13% são da equipe e não entram.</t>
        </is>
      </c>
    </row>
    <row r="6">
      <c r="A6" s="4" t="inlineStr">
        <is>
          <t>CMV médio, comida e bebida</t>
        </is>
      </c>
      <c r="B6" s="7" t="n">
        <v>0.28</v>
      </c>
      <c r="C6" s="6" t="inlineStr">
        <is>
          <t>Exemplo. CMV médio do mês, somando comida e bebida.</t>
        </is>
      </c>
    </row>
    <row r="7">
      <c r="A7" s="4" t="inlineStr">
        <is>
          <t>Impostos sobre a venda</t>
        </is>
      </c>
      <c r="B7" s="7" t="n">
        <v>0.1</v>
      </c>
      <c r="C7" s="6" t="inlineStr">
        <is>
          <t>Exemplo. Depende do regime tributário da QT: confirme com o contador.</t>
        </is>
      </c>
    </row>
    <row r="8">
      <c r="A8" s="4" t="inlineStr">
        <is>
          <t>Cartão e outros custos variáveis</t>
        </is>
      </c>
      <c r="B8" s="7" t="n">
        <v>0.03</v>
      </c>
      <c r="C8" s="6" t="inlineStr">
        <is>
          <t>Exemplo. Taxa de cartão e o que mais varia com cada venda.</t>
        </is>
      </c>
    </row>
    <row r="9" ht="26" customHeight="1">
      <c r="A9" s="8" t="inlineStr">
        <is>
          <t>Margem de contribuição</t>
        </is>
      </c>
      <c r="B9" s="9">
        <f>1-B6-B7-B8</f>
        <v/>
      </c>
      <c r="C9" s="6" t="inlineStr">
        <is>
          <t>O que sobra de cada real vendido para pagar o fixo e, agora, o anúncio.</t>
        </is>
      </c>
    </row>
    <row r="10">
      <c r="A10" s="8" t="inlineStr">
        <is>
          <t>Contribuição por pessoa</t>
        </is>
      </c>
      <c r="B10" s="10">
        <f>B5*B9</f>
        <v/>
      </c>
      <c r="C10" s="6" t="inlineStr">
        <is>
          <t>Quanto cada pessoa sentada deixa para a casa.</t>
        </is>
      </c>
    </row>
    <row r="12">
      <c r="A12" s="3" t="inlineStr">
        <is>
          <t>2 · O funil depois do anúncio</t>
        </is>
      </c>
    </row>
    <row r="13" ht="26" customHeight="1">
      <c r="A13" s="4" t="inlineStr">
        <is>
          <t>Conversa que vira reserva</t>
        </is>
      </c>
      <c r="B13" s="7" t="n">
        <v>0.25</v>
      </c>
      <c r="C13" s="6" t="inlineStr">
        <is>
          <t>Etiqueta Reservou ÷ conversas. Comece com 25% e troque pelo real na semana 3.</t>
        </is>
      </c>
    </row>
    <row r="14" ht="26" customHeight="1">
      <c r="A14" s="4" t="inlineStr">
        <is>
          <t>Comparecimento</t>
        </is>
      </c>
      <c r="B14" s="7" t="n">
        <v>0.85</v>
      </c>
      <c r="C14" s="6" t="inlineStr">
        <is>
          <t>Mesas que vieram ÷ reservas feitas. 85% é o mesmo que 15% de não comparecimento.</t>
        </is>
      </c>
    </row>
    <row r="15">
      <c r="A15" s="4" t="inlineStr">
        <is>
          <t>Pessoas por reserva</t>
        </is>
      </c>
      <c r="B15" s="11" t="n">
        <v>2.5</v>
      </c>
      <c r="C15" s="6" t="inlineStr">
        <is>
          <t>Média de pessoas por mesa reservada.</t>
        </is>
      </c>
    </row>
    <row r="16">
      <c r="A16" s="4" t="inlineStr">
        <is>
          <t>Contribuição por mesa que veio</t>
        </is>
      </c>
      <c r="B16" s="12">
        <f>B10*B15</f>
        <v/>
      </c>
      <c r="C16" s="6" t="inlineStr">
        <is>
          <t>Contribuição por pessoa × pessoas por reserva.</t>
        </is>
      </c>
    </row>
    <row r="17">
      <c r="A17" s="4" t="inlineStr">
        <is>
          <t>Contribuição por reserva feita</t>
        </is>
      </c>
      <c r="B17" s="12">
        <f>B16*B14</f>
        <v/>
      </c>
      <c r="C17" s="6" t="inlineStr">
        <is>
          <t>Já descontado quem reservou e não veio.</t>
        </is>
      </c>
    </row>
    <row r="18" ht="26" customHeight="1">
      <c r="A18" s="8" t="inlineStr">
        <is>
          <t>Contribuição por conversa</t>
        </is>
      </c>
      <c r="B18" s="10">
        <f>B17*B13</f>
        <v/>
      </c>
      <c r="C18" s="6" t="inlineStr">
        <is>
          <t>Se a conversa custar isso, com tributo, a QT empata na primeira visita.</t>
        </is>
      </c>
    </row>
    <row r="20">
      <c r="A20" s="3" t="inlineStr">
        <is>
          <t>3 · O tributo da Meta e a margem de segurança</t>
        </is>
      </c>
    </row>
    <row r="21">
      <c r="A21" s="4" t="inlineStr">
        <is>
          <t>Tributo repassado pela Meta desde 01/01/2026</t>
        </is>
      </c>
      <c r="B21" s="13" t="n">
        <v>0.1215</v>
      </c>
      <c r="C21" s="6" t="inlineStr">
        <is>
          <t>PIS e Cofins 9,25% mais ISS 2,9%. Cobrado por dentro.</t>
        </is>
      </c>
    </row>
    <row r="22">
      <c r="A22" s="4" t="inlineStr">
        <is>
          <t>Fator do tributo</t>
        </is>
      </c>
      <c r="B22" s="14">
        <f>1/(1-B21)</f>
        <v/>
      </c>
      <c r="C22" s="6" t="inlineStr">
        <is>
          <t>Valor do Gerenciador × fator = fatura. R$ 100 vira R$ 113,83.</t>
        </is>
      </c>
    </row>
    <row r="23" ht="26" customHeight="1">
      <c r="A23" s="4" t="inlineStr">
        <is>
          <t>Meta, em fração do empate</t>
        </is>
      </c>
      <c r="B23" s="7" t="n">
        <v>0.5</v>
      </c>
      <c r="C23" s="6" t="inlineStr">
        <is>
          <t>Pagar no máximo metade do empate cobre cliente que viria de qualquer jeito e erro de medição. Apostila, módulo 7.3.</t>
        </is>
      </c>
    </row>
    <row r="25">
      <c r="A25" s="3" t="inlineStr">
        <is>
          <t>4 · Quanto dá para pagar</t>
        </is>
      </c>
    </row>
    <row r="26" ht="32" customHeight="1">
      <c r="A26" s="15" t="inlineStr">
        <is>
          <t>Por</t>
        </is>
      </c>
      <c r="B26" s="15" t="inlineStr">
        <is>
          <t>Empate real, com tributo</t>
        </is>
      </c>
      <c r="C26" s="15" t="inlineStr">
        <is>
          <t>Meta real</t>
        </is>
      </c>
      <c r="D26" s="15" t="inlineStr">
        <is>
          <t>Empate no Gerenciador</t>
        </is>
      </c>
      <c r="E26" s="15" t="inlineStr">
        <is>
          <t>Meta no Gerenciador</t>
        </is>
      </c>
    </row>
    <row r="27">
      <c r="A27" s="8" t="inlineStr">
        <is>
          <t>Conversa</t>
        </is>
      </c>
      <c r="B27" s="12">
        <f>B18</f>
        <v/>
      </c>
      <c r="C27" s="12">
        <f>B27*$B$23</f>
        <v/>
      </c>
      <c r="D27" s="12">
        <f>B27/$B$22</f>
        <v/>
      </c>
      <c r="E27" s="10">
        <f>D27*$B$23</f>
        <v/>
      </c>
    </row>
    <row r="28">
      <c r="A28" s="8" t="inlineStr">
        <is>
          <t>Reserva feita</t>
        </is>
      </c>
      <c r="B28" s="12">
        <f>B17</f>
        <v/>
      </c>
      <c r="C28" s="12">
        <f>B28*$B$23</f>
        <v/>
      </c>
      <c r="D28" s="12">
        <f>B28/$B$22</f>
        <v/>
      </c>
      <c r="E28" s="12">
        <f>D28*$B$23</f>
        <v/>
      </c>
    </row>
    <row r="29">
      <c r="A29" s="8" t="inlineStr">
        <is>
          <t>Pessoa atendida</t>
        </is>
      </c>
      <c r="B29" s="12">
        <f>B10</f>
        <v/>
      </c>
      <c r="C29" s="10">
        <f>B29*$B$23</f>
        <v/>
      </c>
      <c r="D29" s="12">
        <f>B29/$B$22</f>
        <v/>
      </c>
      <c r="E29" s="12">
        <f>D29*$B$23</f>
        <v/>
      </c>
    </row>
    <row r="30" ht="26" customHeight="1">
      <c r="A30" s="6" t="inlineStr">
        <is>
          <t>No Gerenciador é o real ÷ fator do tributo, para comparar direto com o que a tela mostra. Os dois em negrito são os da semana: custo por conversa do Gerenciador contra a meta da linha Conversa, custo real por pessoa contra a meta real da linha Pessoa.</t>
        </is>
      </c>
    </row>
    <row r="31">
      <c r="A31" s="4" t="inlineStr">
        <is>
          <t>ROAS real de empate</t>
        </is>
      </c>
      <c r="B31" s="16">
        <f>1/B9</f>
        <v/>
      </c>
      <c r="C31" s="6" t="inlineStr">
        <is>
          <t>Cada real de anúncio precisa trazer isso de faturamento para empatar.</t>
        </is>
      </c>
    </row>
    <row r="32">
      <c r="A32" s="4" t="inlineStr">
        <is>
          <t>ROAS real meta</t>
        </is>
      </c>
      <c r="B32" s="17">
        <f>1/(B9*B23)</f>
        <v/>
      </c>
      <c r="C32" s="6" t="inlineStr">
        <is>
          <t>O ROAS que a QT quer ver na aba Semanal.</t>
        </is>
      </c>
    </row>
    <row r="33">
      <c r="A33" s="4" t="inlineStr">
        <is>
          <t>% de mídia de empate</t>
        </is>
      </c>
      <c r="B33" s="18">
        <f>B9</f>
        <v/>
      </c>
      <c r="C33" s="6" t="inlineStr">
        <is>
          <t>O CMV do marketing: gasto real ÷ faturamento que veio do anúncio.</t>
        </is>
      </c>
    </row>
    <row r="34">
      <c r="A34" s="4" t="inlineStr">
        <is>
          <t>% de mídia meta</t>
        </is>
      </c>
      <c r="B34" s="9">
        <f>B9*B23</f>
        <v/>
      </c>
    </row>
    <row r="36">
      <c r="A36" s="3" t="inlineStr">
        <is>
          <t>5 · Projeção do mês</t>
        </is>
      </c>
    </row>
    <row r="37">
      <c r="A37" s="4" t="inlineStr">
        <is>
          <t>Verba diária da campanha de reserva, no Gerenciador</t>
        </is>
      </c>
      <c r="B37" s="5" t="n">
        <v>50</v>
      </c>
      <c r="C37" s="6" t="inlineStr">
        <is>
          <t>Campanha A, QT_RES_WPP.</t>
        </is>
      </c>
    </row>
    <row r="38">
      <c r="A38" s="4" t="inlineStr">
        <is>
          <t>Verba diária da vitrine, no Gerenciador</t>
        </is>
      </c>
      <c r="B38" s="5" t="n">
        <v>15</v>
      </c>
      <c r="C38" s="6" t="inlineStr">
        <is>
          <t>Campanha B, QT_VIT_ALC. Não gera conversa, mas entra no custo.</t>
        </is>
      </c>
    </row>
    <row r="39">
      <c r="A39" s="4" t="inlineStr">
        <is>
          <t>Dias no mês</t>
        </is>
      </c>
      <c r="B39" s="19" t="n">
        <v>30</v>
      </c>
    </row>
    <row r="40" ht="26" customHeight="1">
      <c r="A40" s="4" t="inlineStr">
        <is>
          <t>Custo por conversa esperado, no Gerenciador</t>
        </is>
      </c>
      <c r="B40" s="5" t="n">
        <v>12</v>
      </c>
      <c r="C40" s="6" t="inlineStr">
        <is>
          <t>Hipótese prudente. O mercado fala em perto de R$ 5 no Brasil em 2026. Troque pelo real da QT na semana 3.</t>
        </is>
      </c>
    </row>
    <row r="41">
      <c r="A41" s="4" t="inlineStr">
        <is>
          <t>Verba do mês no Gerenciador</t>
        </is>
      </c>
      <c r="B41" s="12">
        <f>(B37+B38)*B39</f>
        <v/>
      </c>
    </row>
    <row r="42">
      <c r="A42" s="8" t="inlineStr">
        <is>
          <t>Desembolso real do mês, com tributo</t>
        </is>
      </c>
      <c r="B42" s="10">
        <f>B41*B22</f>
        <v/>
      </c>
      <c r="C42" s="6" t="inlineStr">
        <is>
          <t>O que sai do caixa.</t>
        </is>
      </c>
    </row>
    <row r="43">
      <c r="A43" s="4" t="inlineStr">
        <is>
          <t>Conversas</t>
        </is>
      </c>
      <c r="B43" s="20">
        <f>B37*B39/B40</f>
        <v/>
      </c>
      <c r="C43" s="6" t="inlineStr">
        <is>
          <t>Só a campanha de reserva gera conversa.</t>
        </is>
      </c>
    </row>
    <row r="44">
      <c r="A44" s="4" t="inlineStr">
        <is>
          <t>Reservas</t>
        </is>
      </c>
      <c r="B44" s="20">
        <f>B43*B13</f>
        <v/>
      </c>
    </row>
    <row r="45">
      <c r="A45" s="4" t="inlineStr">
        <is>
          <t>Mesas que vieram</t>
        </is>
      </c>
      <c r="B45" s="20">
        <f>B44*B14</f>
        <v/>
      </c>
    </row>
    <row r="46">
      <c r="A46" s="4" t="inlineStr">
        <is>
          <t>Pessoas atendidas</t>
        </is>
      </c>
      <c r="B46" s="20">
        <f>B45*B15</f>
        <v/>
      </c>
    </row>
    <row r="47">
      <c r="A47" s="4" t="inlineStr">
        <is>
          <t>Faturamento</t>
        </is>
      </c>
      <c r="B47" s="12">
        <f>B46*B5</f>
        <v/>
      </c>
      <c r="C47" s="6" t="inlineStr">
        <is>
          <t>Pessoas × ticket médio.</t>
        </is>
      </c>
    </row>
    <row r="48">
      <c r="A48" s="4" t="inlineStr">
        <is>
          <t>Contribuição</t>
        </is>
      </c>
      <c r="B48" s="12">
        <f>B47*B9</f>
        <v/>
      </c>
    </row>
    <row r="49">
      <c r="A49" s="8" t="inlineStr">
        <is>
          <t>Resultado do mês</t>
        </is>
      </c>
      <c r="B49" s="10">
        <f>B48-B42</f>
        <v/>
      </c>
      <c r="C49" s="6" t="inlineStr">
        <is>
          <t>Contribuição menos o que saiu do caixa.</t>
        </is>
      </c>
    </row>
    <row r="50">
      <c r="A50" s="4" t="inlineStr">
        <is>
          <t>ROAS real</t>
        </is>
      </c>
      <c r="B50" s="16">
        <f>B47/B42</f>
        <v/>
      </c>
    </row>
    <row r="51">
      <c r="A51" s="4" t="inlineStr">
        <is>
          <t>% de mídia</t>
        </is>
      </c>
      <c r="B51" s="18">
        <f>B42/B47</f>
        <v/>
      </c>
    </row>
    <row r="52">
      <c r="A52" s="8" t="inlineStr">
        <is>
          <t>Custo real por pessoa atendida</t>
        </is>
      </c>
      <c r="B52" s="10">
        <f>B42/B46</f>
        <v/>
      </c>
      <c r="C52" s="6" t="inlineStr">
        <is>
          <t>A métrica que manda. Compare com a linha Pessoa atendida da seção 4.</t>
        </is>
      </c>
    </row>
    <row r="53">
      <c r="A53" s="8" t="inlineStr">
        <is>
          <t>Leitura</t>
        </is>
      </c>
      <c r="B53" s="21">
        <f>IF(B52&lt;=C29,"dentro da meta",IF(B52&lt;=B29,"entre a meta e o empate","acima do empate: a conta não fecha"))</f>
        <v/>
      </c>
    </row>
    <row r="54" ht="26" customHeight="1">
      <c r="A54" s="4" t="inlineStr">
        <is>
          <t>Lugares que sobram por semana nos dias fracos</t>
        </is>
      </c>
      <c r="B54" s="19" t="n">
        <v>80</v>
      </c>
      <c r="C54" s="6" t="inlineStr">
        <is>
          <t>Exemplo. Quantas pessoas a mais cabem de terça a quinta, somando os três dias.</t>
        </is>
      </c>
    </row>
    <row r="55">
      <c r="A55" s="4" t="inlineStr">
        <is>
          <t>Pessoas do anúncio por semana</t>
        </is>
      </c>
      <c r="B55" s="22">
        <f>B46/(B39/7)</f>
        <v/>
      </c>
    </row>
    <row r="56">
      <c r="A56" s="4" t="inlineStr">
        <is>
          <t>Parte da sobra que o anúncio ocupa</t>
        </is>
      </c>
      <c r="B56" s="18">
        <f>B55/B54</f>
        <v/>
      </c>
      <c r="C56" s="6" t="inlineStr">
        <is>
          <t>Acima de 100%, o anúncio traz mais gente do que cabe nos dias fracos.</t>
        </is>
      </c>
    </row>
    <row r="58">
      <c r="A58" s="3" t="inlineStr">
        <is>
          <t>6 · Teste de estresse · resultado do mês com a verba da seção 5</t>
        </is>
      </c>
    </row>
    <row r="59" ht="32" customHeight="1">
      <c r="A59" s="23" t="inlineStr">
        <is>
          <t>Custo por conversa no Gerenciador, para baixo · conversa que vira reserva, para o lado</t>
        </is>
      </c>
      <c r="B59" s="7" t="n">
        <v>0.15</v>
      </c>
      <c r="C59" s="7" t="n">
        <v>0.2</v>
      </c>
      <c r="D59" s="7" t="n">
        <v>0.25</v>
      </c>
      <c r="E59" s="7" t="n">
        <v>0.3</v>
      </c>
      <c r="F59" s="7" t="n">
        <v>0.35</v>
      </c>
    </row>
    <row r="60">
      <c r="A60" s="5" t="n">
        <v>6</v>
      </c>
      <c r="B60" s="12">
        <f>($B$37*$B$39/$A60)*B$59*$B$14*$B$15*$B$5*$B$9-$B$42</f>
        <v/>
      </c>
      <c r="C60" s="12">
        <f>($B$37*$B$39/$A60)*C$59*$B$14*$B$15*$B$5*$B$9-$B$42</f>
        <v/>
      </c>
      <c r="D60" s="12">
        <f>($B$37*$B$39/$A60)*D$59*$B$14*$B$15*$B$5*$B$9-$B$42</f>
        <v/>
      </c>
      <c r="E60" s="12">
        <f>($B$37*$B$39/$A60)*E$59*$B$14*$B$15*$B$5*$B$9-$B$42</f>
        <v/>
      </c>
      <c r="F60" s="12">
        <f>($B$37*$B$39/$A60)*F$59*$B$14*$B$15*$B$5*$B$9-$B$42</f>
        <v/>
      </c>
    </row>
    <row r="61">
      <c r="A61" s="5" t="n">
        <v>8</v>
      </c>
      <c r="B61" s="12">
        <f>($B$37*$B$39/$A61)*B$59*$B$14*$B$15*$B$5*$B$9-$B$42</f>
        <v/>
      </c>
      <c r="C61" s="12">
        <f>($B$37*$B$39/$A61)*C$59*$B$14*$B$15*$B$5*$B$9-$B$42</f>
        <v/>
      </c>
      <c r="D61" s="12">
        <f>($B$37*$B$39/$A61)*D$59*$B$14*$B$15*$B$5*$B$9-$B$42</f>
        <v/>
      </c>
      <c r="E61" s="12">
        <f>($B$37*$B$39/$A61)*E$59*$B$14*$B$15*$B$5*$B$9-$B$42</f>
        <v/>
      </c>
      <c r="F61" s="12">
        <f>($B$37*$B$39/$A61)*F$59*$B$14*$B$15*$B$5*$B$9-$B$42</f>
        <v/>
      </c>
    </row>
    <row r="62">
      <c r="A62" s="5" t="n">
        <v>10</v>
      </c>
      <c r="B62" s="12">
        <f>($B$37*$B$39/$A62)*B$59*$B$14*$B$15*$B$5*$B$9-$B$42</f>
        <v/>
      </c>
      <c r="C62" s="12">
        <f>($B$37*$B$39/$A62)*C$59*$B$14*$B$15*$B$5*$B$9-$B$42</f>
        <v/>
      </c>
      <c r="D62" s="12">
        <f>($B$37*$B$39/$A62)*D$59*$B$14*$B$15*$B$5*$B$9-$B$42</f>
        <v/>
      </c>
      <c r="E62" s="12">
        <f>($B$37*$B$39/$A62)*E$59*$B$14*$B$15*$B$5*$B$9-$B$42</f>
        <v/>
      </c>
      <c r="F62" s="12">
        <f>($B$37*$B$39/$A62)*F$59*$B$14*$B$15*$B$5*$B$9-$B$42</f>
        <v/>
      </c>
    </row>
    <row r="63">
      <c r="A63" s="5" t="n">
        <v>12</v>
      </c>
      <c r="B63" s="12">
        <f>($B$37*$B$39/$A63)*B$59*$B$14*$B$15*$B$5*$B$9-$B$42</f>
        <v/>
      </c>
      <c r="C63" s="12">
        <f>($B$37*$B$39/$A63)*C$59*$B$14*$B$15*$B$5*$B$9-$B$42</f>
        <v/>
      </c>
      <c r="D63" s="12">
        <f>($B$37*$B$39/$A63)*D$59*$B$14*$B$15*$B$5*$B$9-$B$42</f>
        <v/>
      </c>
      <c r="E63" s="12">
        <f>($B$37*$B$39/$A63)*E$59*$B$14*$B$15*$B$5*$B$9-$B$42</f>
        <v/>
      </c>
      <c r="F63" s="12">
        <f>($B$37*$B$39/$A63)*F$59*$B$14*$B$15*$B$5*$B$9-$B$42</f>
        <v/>
      </c>
    </row>
    <row r="64">
      <c r="A64" s="5" t="n">
        <v>15</v>
      </c>
      <c r="B64" s="12">
        <f>($B$37*$B$39/$A64)*B$59*$B$14*$B$15*$B$5*$B$9-$B$42</f>
        <v/>
      </c>
      <c r="C64" s="12">
        <f>($B$37*$B$39/$A64)*C$59*$B$14*$B$15*$B$5*$B$9-$B$42</f>
        <v/>
      </c>
      <c r="D64" s="12">
        <f>($B$37*$B$39/$A64)*D$59*$B$14*$B$15*$B$5*$B$9-$B$42</f>
        <v/>
      </c>
      <c r="E64" s="12">
        <f>($B$37*$B$39/$A64)*E$59*$B$14*$B$15*$B$5*$B$9-$B$42</f>
        <v/>
      </c>
      <c r="F64" s="12">
        <f>($B$37*$B$39/$A64)*F$59*$B$14*$B$15*$B$5*$B$9-$B$42</f>
        <v/>
      </c>
    </row>
    <row r="65">
      <c r="A65" s="5" t="n">
        <v>20</v>
      </c>
      <c r="B65" s="12">
        <f>($B$37*$B$39/$A65)*B$59*$B$14*$B$15*$B$5*$B$9-$B$42</f>
        <v/>
      </c>
      <c r="C65" s="12">
        <f>($B$37*$B$39/$A65)*C$59*$B$14*$B$15*$B$5*$B$9-$B$42</f>
        <v/>
      </c>
      <c r="D65" s="12">
        <f>($B$37*$B$39/$A65)*D$59*$B$14*$B$15*$B$5*$B$9-$B$42</f>
        <v/>
      </c>
      <c r="E65" s="12">
        <f>($B$37*$B$39/$A65)*E$59*$B$14*$B$15*$B$5*$B$9-$B$42</f>
        <v/>
      </c>
      <c r="F65" s="12">
        <f>($B$37*$B$39/$A65)*F$59*$B$14*$B$15*$B$5*$B$9-$B$42</f>
        <v/>
      </c>
    </row>
    <row r="66">
      <c r="A66" s="5" t="n">
        <v>25</v>
      </c>
      <c r="B66" s="12">
        <f>($B$37*$B$39/$A66)*B$59*$B$14*$B$15*$B$5*$B$9-$B$42</f>
        <v/>
      </c>
      <c r="C66" s="12">
        <f>($B$37*$B$39/$A66)*C$59*$B$14*$B$15*$B$5*$B$9-$B$42</f>
        <v/>
      </c>
      <c r="D66" s="12">
        <f>($B$37*$B$39/$A66)*D$59*$B$14*$B$15*$B$5*$B$9-$B$42</f>
        <v/>
      </c>
      <c r="E66" s="12">
        <f>($B$37*$B$39/$A66)*E$59*$B$14*$B$15*$B$5*$B$9-$B$42</f>
        <v/>
      </c>
      <c r="F66" s="12">
        <f>($B$37*$B$39/$A66)*F$59*$B$14*$B$15*$B$5*$B$9-$B$42</f>
        <v/>
      </c>
    </row>
    <row r="67">
      <c r="A67" s="5" t="n">
        <v>30</v>
      </c>
      <c r="B67" s="12">
        <f>($B$37*$B$39/$A67)*B$59*$B$14*$B$15*$B$5*$B$9-$B$42</f>
        <v/>
      </c>
      <c r="C67" s="12">
        <f>($B$37*$B$39/$A67)*C$59*$B$14*$B$15*$B$5*$B$9-$B$42</f>
        <v/>
      </c>
      <c r="D67" s="12">
        <f>($B$37*$B$39/$A67)*D$59*$B$14*$B$15*$B$5*$B$9-$B$42</f>
        <v/>
      </c>
      <c r="E67" s="12">
        <f>($B$37*$B$39/$A67)*E$59*$B$14*$B$15*$B$5*$B$9-$B$42</f>
        <v/>
      </c>
      <c r="F67" s="12">
        <f>($B$37*$B$39/$A67)*F$59*$B$14*$B$15*$B$5*$B$9-$B$42</f>
        <v/>
      </c>
    </row>
    <row r="68" ht="26" customHeight="1">
      <c r="A68" s="6" t="inlineStr">
        <is>
          <t>Vermelho é prejuízo. Repare que dobrar a conversão em reserva vale o mesmo que cortar o custo por conversa pela metade, e a conversão depende do atendimento.</t>
        </is>
      </c>
    </row>
  </sheetData>
  <mergeCells count="30">
    <mergeCell ref="C52:F52"/>
    <mergeCell ref="C17:F17"/>
    <mergeCell ref="C23:F23"/>
    <mergeCell ref="C8:F8"/>
    <mergeCell ref="C7:F7"/>
    <mergeCell ref="C38:F38"/>
    <mergeCell ref="C32:F32"/>
    <mergeCell ref="C37:F37"/>
    <mergeCell ref="C13:F13"/>
    <mergeCell ref="C18:F18"/>
    <mergeCell ref="C49:F49"/>
    <mergeCell ref="C6:F6"/>
    <mergeCell ref="C15:F15"/>
    <mergeCell ref="C33:F33"/>
    <mergeCell ref="C5:F5"/>
    <mergeCell ref="C42:F42"/>
    <mergeCell ref="C14:F14"/>
    <mergeCell ref="A68:F68"/>
    <mergeCell ref="C16:F16"/>
    <mergeCell ref="C54:F54"/>
    <mergeCell ref="C10:F10"/>
    <mergeCell ref="A30:F30"/>
    <mergeCell ref="C47:F47"/>
    <mergeCell ref="C22:F22"/>
    <mergeCell ref="C40:F40"/>
    <mergeCell ref="C9:F9"/>
    <mergeCell ref="C31:F31"/>
    <mergeCell ref="C56:F56"/>
    <mergeCell ref="C43:F43"/>
    <mergeCell ref="C21:F21"/>
  </mergeCells>
  <conditionalFormatting sqref="B60:F67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8" customWidth="1" min="4" max="4"/>
    <col width="16" customWidth="1" min="5" max="5"/>
    <col width="20" customWidth="1" min="6" max="6"/>
    <col width="18" customWidth="1" min="7" max="7"/>
    <col width="13" customWidth="1" min="8" max="8"/>
    <col width="15" customWidth="1" min="9" max="9"/>
    <col width="14" customWidth="1" min="10" max="10"/>
    <col width="34" customWidth="1" min="11" max="11"/>
    <col width="14" customWidth="1" min="12" max="12"/>
  </cols>
  <sheetData>
    <row r="1">
      <c r="A1" s="1" t="inlineStr">
        <is>
          <t>Campanhas · a ficha técnica de cada uma</t>
        </is>
      </c>
    </row>
    <row r="2">
      <c r="A2" s="2" t="inlineStr">
        <is>
          <t>O detalhe de cada ajuste está no plano de largada. A verba em amarelo é a que você vai colocar no Gerenciador.</t>
        </is>
      </c>
    </row>
    <row r="4" ht="32" customHeight="1">
      <c r="A4" s="15" t="inlineStr">
        <is>
          <t>Campanha</t>
        </is>
      </c>
      <c r="B4" s="15" t="inlineStr">
        <is>
          <t>Objetivo</t>
        </is>
      </c>
      <c r="C4" s="15" t="inlineStr">
        <is>
          <t>Para onde a pessoa vai</t>
        </is>
      </c>
      <c r="D4" s="15" t="inlineStr">
        <is>
          <t>Meta de desempenho</t>
        </is>
      </c>
      <c r="E4" s="15" t="inlineStr">
        <is>
          <t>Conjunto</t>
        </is>
      </c>
      <c r="F4" s="15" t="inlineStr">
        <is>
          <t>Local e raio</t>
        </is>
      </c>
      <c r="G4" s="15" t="inlineStr">
        <is>
          <t>Idade</t>
        </is>
      </c>
      <c r="H4" s="15" t="inlineStr">
        <is>
          <t>Público</t>
        </is>
      </c>
      <c r="I4" s="15" t="inlineStr">
        <is>
          <t>Verba diária no Gerenciador</t>
        </is>
      </c>
      <c r="J4" s="15" t="inlineStr">
        <is>
          <t>Anúncios</t>
        </is>
      </c>
      <c r="K4" s="15" t="inlineStr">
        <is>
          <t>Mensagem pré-preenchida</t>
        </is>
      </c>
      <c r="L4" s="15" t="inlineStr">
        <is>
          <t>Status</t>
        </is>
      </c>
    </row>
    <row r="5" ht="46" customHeight="1">
      <c r="A5" s="8" t="inlineStr">
        <is>
          <t>QT_RES_WPP</t>
        </is>
      </c>
      <c r="B5" s="4" t="inlineStr">
        <is>
          <t>Engajamento</t>
        </is>
      </c>
      <c r="C5" s="4" t="inlineStr">
        <is>
          <t>WhatsApp da QT</t>
        </is>
      </c>
      <c r="D5" s="4" t="inlineStr">
        <is>
          <t>Maximizar o número de conversas</t>
        </is>
      </c>
      <c r="E5" s="4" t="inlineStr">
        <is>
          <t>R6km_18+_ADV</t>
        </is>
      </c>
      <c r="F5" s="4" t="inlineStr">
        <is>
          <t>endereço da QT, 6 km</t>
        </is>
      </c>
      <c r="G5" s="4" t="inlineStr">
        <is>
          <t>mínima 18, sugestão 25 a 45</t>
        </is>
      </c>
      <c r="H5" s="4" t="inlineStr">
        <is>
          <t>Advantage+</t>
        </is>
      </c>
      <c r="I5" s="24" t="n">
        <v>50</v>
      </c>
      <c r="J5" s="4" t="inlineStr">
        <is>
          <t>A1, A2, A3, A4</t>
        </is>
      </c>
      <c r="K5" s="4" t="inlineStr">
        <is>
          <t>Oi! Vi o anúncio da QT e quero reservar uma mesa.</t>
        </is>
      </c>
      <c r="L5" s="25" t="inlineStr">
        <is>
          <t>planejada</t>
        </is>
      </c>
    </row>
    <row r="6" ht="46" customHeight="1">
      <c r="A6" s="8" t="inlineStr">
        <is>
          <t>QT_VIT_ALC</t>
        </is>
      </c>
      <c r="B6" s="4" t="inlineStr">
        <is>
          <t>Reconhecimento</t>
        </is>
      </c>
      <c r="C6" s="4" t="inlineStr">
        <is>
          <t>botão Saiba mais com link wa.me</t>
        </is>
      </c>
      <c r="D6" s="4" t="inlineStr">
        <is>
          <t>Maximizar o alcance, no máximo 2 impressões a cada 7 dias</t>
        </is>
      </c>
      <c r="E6" s="4" t="inlineStr">
        <is>
          <t>R4km_18+_ADV</t>
        </is>
      </c>
      <c r="F6" s="4" t="inlineStr">
        <is>
          <t>endereço da QT, 4 km</t>
        </is>
      </c>
      <c r="G6" s="4" t="inlineStr">
        <is>
          <t>mínima 18, sugestão 25 a 45</t>
        </is>
      </c>
      <c r="H6" s="4" t="inlineStr">
        <is>
          <t>Advantage+</t>
        </is>
      </c>
      <c r="I6" s="24" t="n">
        <v>15</v>
      </c>
      <c r="J6" s="4" t="inlineStr">
        <is>
          <t>B1, B2</t>
        </is>
      </c>
      <c r="K6" s="4" t="inlineStr">
        <is>
          <t>Oi! Vi o vídeo da QT e quero reservar.</t>
        </is>
      </c>
      <c r="L6" s="25" t="inlineStr">
        <is>
          <t>planejada</t>
        </is>
      </c>
    </row>
    <row r="7" ht="46" customHeight="1">
      <c r="A7" s="8" t="inlineStr">
        <is>
          <t>QT_GRP_WPP</t>
        </is>
      </c>
      <c r="B7" s="4" t="inlineStr">
        <is>
          <t>Engajamento</t>
        </is>
      </c>
      <c r="C7" s="4" t="inlineStr">
        <is>
          <t>WhatsApp da QT</t>
        </is>
      </c>
      <c r="D7" s="4" t="inlineStr">
        <is>
          <t>Maximizar o número de conversas</t>
        </is>
      </c>
      <c r="E7" s="4" t="inlineStr">
        <is>
          <t>R5km_18+_ADV</t>
        </is>
      </c>
      <c r="F7" s="4" t="inlineStr">
        <is>
          <t>endereço da QT, 3 a 6 km</t>
        </is>
      </c>
      <c r="G7" s="4" t="inlineStr">
        <is>
          <t>mínima 18</t>
        </is>
      </c>
      <c r="H7" s="4" t="inlineStr">
        <is>
          <t>Advantage+</t>
        </is>
      </c>
      <c r="I7" s="24" t="n">
        <v>0</v>
      </c>
      <c r="J7" s="4" t="inlineStr">
        <is>
          <t>a criar, liga no fim de outubro</t>
        </is>
      </c>
      <c r="K7" s="4" t="inlineStr">
        <is>
          <t>Oi! Quero orçar uma confraternização na QT.</t>
        </is>
      </c>
      <c r="L7" s="25" t="inlineStr">
        <is>
          <t>sazonal</t>
        </is>
      </c>
    </row>
    <row r="8" ht="30" customHeight="1">
      <c r="A8" s="8" t="inlineStr">
        <is>
          <t>Total por dia</t>
        </is>
      </c>
      <c r="I8" s="10">
        <f>SUM(I5:I7)</f>
        <v/>
      </c>
      <c r="K8" s="6">
        <f>IF(AND(I5=verba_reserva,I6=verba_vitrine),"reserva e vitrine batem com a Calculadora","diferente da Calculadora: atualize lá para a projeção valer")</f>
        <v/>
      </c>
    </row>
    <row r="9">
      <c r="A9" s="4" t="inlineStr">
        <is>
          <t>Fatura de 30 dias, com tributo</t>
        </is>
      </c>
      <c r="I9" s="12">
        <f>I8*fator_tributo*30</f>
        <v/>
      </c>
    </row>
    <row r="11">
      <c r="A11" s="3" t="inlineStr">
        <is>
          <t>Nomenclatura</t>
        </is>
      </c>
    </row>
    <row r="12" ht="32" customHeight="1">
      <c r="A12" s="15" t="inlineStr">
        <is>
          <t>Nível</t>
        </is>
      </c>
      <c r="B12" s="15" t="inlineStr">
        <is>
          <t>Molde</t>
        </is>
      </c>
      <c r="C12" s="15" t="inlineStr">
        <is>
          <t>Exemplo</t>
        </is>
      </c>
      <c r="D12" s="15" t="inlineStr">
        <is>
          <t>Lê-se</t>
        </is>
      </c>
    </row>
    <row r="13" ht="30" customHeight="1">
      <c r="A13" s="8" t="inlineStr">
        <is>
          <t>Campanha</t>
        </is>
      </c>
      <c r="B13" s="4" t="inlineStr">
        <is>
          <t>QT_[objetivo]_[destino]</t>
        </is>
      </c>
      <c r="C13" s="4" t="inlineStr">
        <is>
          <t>QT_RES_WPP</t>
        </is>
      </c>
      <c r="D13" s="4" t="inlineStr">
        <is>
          <t>reserva pelo WhatsApp</t>
        </is>
      </c>
    </row>
    <row r="14" ht="30" customHeight="1">
      <c r="A14" s="8" t="inlineStr">
        <is>
          <t>Conjunto</t>
        </is>
      </c>
      <c r="B14" s="4" t="inlineStr">
        <is>
          <t>[local]_[idade]_[público]</t>
        </is>
      </c>
      <c r="C14" s="4" t="inlineStr">
        <is>
          <t>R6km_18+_ADV</t>
        </is>
      </c>
      <c r="D14" s="4" t="inlineStr">
        <is>
          <t>raio de 6 km, 18+, Advantage+</t>
        </is>
      </c>
    </row>
    <row r="15" ht="30" customHeight="1">
      <c r="A15" s="8" t="inlineStr">
        <is>
          <t>Anúncio</t>
        </is>
      </c>
      <c r="B15" s="4" t="inlineStr">
        <is>
          <t>[ângulo]_[formato]_[gancho]_[versão]</t>
        </is>
      </c>
      <c r="C15" s="4" t="inlineStr">
        <is>
          <t>DEST_REELS_FORNO_v1</t>
        </is>
      </c>
      <c r="D15" s="4" t="inlineStr">
        <is>
          <t>destino, Reels, abre no forno, versão 1</t>
        </is>
      </c>
    </row>
    <row r="16" ht="30" customHeight="1">
      <c r="A16" s="8" t="inlineStr">
        <is>
          <t>Ângulos</t>
        </is>
      </c>
      <c r="B16" s="4" t="inlineStr">
        <is>
          <t>DEST · OCAS · PROC · PROD · VIT</t>
        </is>
      </c>
      <c r="C16" s="4" t="inlineStr"/>
      <c r="D16" s="4" t="inlineStr">
        <is>
          <t>destino, ocasião, processo, produto, vitrine</t>
        </is>
      </c>
    </row>
  </sheetData>
  <mergeCells count="1">
    <mergeCell ref="K8:L8"/>
  </mergeCells>
  <dataValidations count="1">
    <dataValidation sqref="L5:L7" showDropDown="0" showInputMessage="0" showErrorMessage="0" allowBlank="1" type="list">
      <formula1>"planejada,ativa,pausada,encerrada,sazonal"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A1E1E"/>
    <outlinePr summaryBelow="1" summaryRight="1"/>
    <pageSetUpPr/>
  </sheetPr>
  <dimension ref="A1:Z2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22" customWidth="1" min="25" max="25"/>
    <col width="34" customWidth="1" min="26" max="26"/>
  </cols>
  <sheetData>
    <row r="1">
      <c r="A1" s="1" t="inlineStr">
        <is>
          <t>Acompanhamento semanal · toda segunda, os últimos 7 dias</t>
        </is>
      </c>
    </row>
    <row r="2">
      <c r="A2" s="2" t="inlineStr">
        <is>
          <t>Amarelo: copie do Gerenciador (predefinição QT semanal), das etiquetas do WhatsApp e do livro de reservas. Branco QT: calcula sozinho. A linha EXEMPLO é só formato: apague quando começar.</t>
        </is>
      </c>
    </row>
    <row r="4">
      <c r="A4" s="26" t="inlineStr">
        <is>
          <t>Segunda da semana 1:</t>
        </is>
      </c>
      <c r="D4" s="27" t="n">
        <v>46307</v>
      </c>
      <c r="E4" s="28" t="inlineStr">
        <is>
          <t>troque pela segunda da semana do lançamento. As outras datas se ajustam.</t>
        </is>
      </c>
    </row>
    <row r="6" ht="48" customHeight="1">
      <c r="A6" s="15" t="inlineStr">
        <is>
          <t>#</t>
        </is>
      </c>
      <c r="B6" s="15" t="inlineStr">
        <is>
          <t>Semana de</t>
        </is>
      </c>
      <c r="C6" s="15" t="inlineStr">
        <is>
          <t>Gasto total no Gerenciador</t>
        </is>
      </c>
      <c r="D6" s="15" t="inlineStr">
        <is>
          <t>Gasto da reserva no Gerenciador</t>
        </is>
      </c>
      <c r="E6" s="15" t="inlineStr">
        <is>
          <t>Impressões da reserva</t>
        </is>
      </c>
      <c r="F6" s="15" t="inlineStr">
        <is>
          <t>Cliques no link da reserva</t>
        </is>
      </c>
      <c r="G6" s="15" t="inlineStr">
        <is>
          <t>Conversas iniciadas</t>
        </is>
      </c>
      <c r="H6" s="15" t="inlineStr">
        <is>
          <t>Alcance da vitrine</t>
        </is>
      </c>
      <c r="I6" s="15" t="inlineStr">
        <is>
          <t>Frequência da vitrine</t>
        </is>
      </c>
      <c r="J6" s="15" t="inlineStr">
        <is>
          <t>Reservas feitas</t>
        </is>
      </c>
      <c r="K6" s="15" t="inlineStr">
        <is>
          <t>Mesas que vieram</t>
        </is>
      </c>
      <c r="L6" s="15" t="inlineStr">
        <is>
          <t>Pessoas atendidas</t>
        </is>
      </c>
      <c r="M6" s="15" t="inlineStr">
        <is>
          <t>Gasto real, com tributo</t>
        </is>
      </c>
      <c r="N6" s="15" t="inlineStr">
        <is>
          <t>CPM da reserva</t>
        </is>
      </c>
      <c r="O6" s="15" t="inlineStr">
        <is>
          <t>CTR do link</t>
        </is>
      </c>
      <c r="P6" s="15" t="inlineStr">
        <is>
          <t>Custo por conversa no Gerenciador</t>
        </is>
      </c>
      <c r="Q6" s="15" t="inlineStr">
        <is>
          <t>Conversa que vira reserva</t>
        </is>
      </c>
      <c r="R6" s="15" t="inlineStr">
        <is>
          <t>Comparecimento</t>
        </is>
      </c>
      <c r="S6" s="15" t="inlineStr">
        <is>
          <t>Custo real por pessoa</t>
        </is>
      </c>
      <c r="T6" s="15" t="inlineStr">
        <is>
          <t>Faturamento estimado</t>
        </is>
      </c>
      <c r="U6" s="15" t="inlineStr">
        <is>
          <t>Contribuição</t>
        </is>
      </c>
      <c r="V6" s="15" t="inlineStr">
        <is>
          <t>Resultado da semana</t>
        </is>
      </c>
      <c r="W6" s="15" t="inlineStr">
        <is>
          <t>ROAS real</t>
        </is>
      </c>
      <c r="X6" s="15" t="inlineStr">
        <is>
          <t>% de mídia</t>
        </is>
      </c>
      <c r="Y6" s="15" t="inlineStr">
        <is>
          <t>Leitura</t>
        </is>
      </c>
      <c r="Z6" s="15" t="inlineStr">
        <is>
          <t>Mudança feita nesta segunda</t>
        </is>
      </c>
    </row>
    <row r="7">
      <c r="A7" s="29" t="inlineStr">
        <is>
          <t>ex</t>
        </is>
      </c>
      <c r="B7" s="29" t="inlineStr">
        <is>
          <t>EXEMPLO</t>
        </is>
      </c>
      <c r="C7" s="30" t="n">
        <v>455</v>
      </c>
      <c r="D7" s="30" t="n">
        <v>350</v>
      </c>
      <c r="E7" s="31" t="n">
        <v>25000</v>
      </c>
      <c r="F7" s="31" t="n">
        <v>210</v>
      </c>
      <c r="G7" s="31" t="n">
        <v>29</v>
      </c>
      <c r="H7" s="31" t="n">
        <v>6200</v>
      </c>
      <c r="I7" s="32" t="n">
        <v>1.9</v>
      </c>
      <c r="J7" s="31" t="n">
        <v>7</v>
      </c>
      <c r="K7" s="31" t="n">
        <v>6</v>
      </c>
      <c r="L7" s="31" t="n">
        <v>15</v>
      </c>
      <c r="M7" s="33">
        <f>IF(C7="","",C7*fator_tributo)</f>
        <v/>
      </c>
      <c r="N7" s="33">
        <f>IFERROR(IF(OR(D7="",E7=""),"",D7/E7*1000),"")</f>
        <v/>
      </c>
      <c r="O7" s="34">
        <f>IFERROR(IF(OR(F7="",E7=""),"",F7/E7),"")</f>
        <v/>
      </c>
      <c r="P7" s="33">
        <f>IFERROR(IF(OR(D7="",G7=""),"",D7/G7),"")</f>
        <v/>
      </c>
      <c r="Q7" s="35">
        <f>IFERROR(IF(OR(J7="",G7=""),"",J7/G7),"")</f>
        <v/>
      </c>
      <c r="R7" s="35">
        <f>IFERROR(IF(OR(K7="",J7=""),"",K7/J7),"")</f>
        <v/>
      </c>
      <c r="S7" s="33">
        <f>IFERROR(IF(OR(M7="",L7=""),"",M7/L7),"")</f>
        <v/>
      </c>
      <c r="T7" s="33">
        <f>IF(L7="","",L7*ticket)</f>
        <v/>
      </c>
      <c r="U7" s="33">
        <f>IF(T7="","",T7*margem)</f>
        <v/>
      </c>
      <c r="V7" s="33">
        <f>IF(OR(U7="",M7=""),"",U7-M7)</f>
        <v/>
      </c>
      <c r="W7" s="36">
        <f>IFERROR(IF(OR(T7="",M7=""),"",T7/M7),"")</f>
        <v/>
      </c>
      <c r="X7" s="35">
        <f>IFERROR(IF(OR(M7="",T7=""),"",M7/T7),"")</f>
        <v/>
      </c>
      <c r="Y7" s="37">
        <f>IF(S7="","",IF(S7&lt;=meta_pessoa,"dentro da meta",IF(S7&lt;=empate_pessoa,"entre a meta e o empate","acima do empate")))</f>
        <v/>
      </c>
      <c r="Z7" s="29" t="inlineStr">
        <is>
          <t>nenhuma, semana de aprendizado</t>
        </is>
      </c>
    </row>
    <row r="8">
      <c r="A8" s="38" t="n">
        <v>1</v>
      </c>
      <c r="B8" s="39">
        <f>$D$4</f>
        <v/>
      </c>
      <c r="C8" s="5" t="n"/>
      <c r="D8" s="5" t="n"/>
      <c r="E8" s="19" t="n"/>
      <c r="F8" s="19" t="n"/>
      <c r="G8" s="19" t="n"/>
      <c r="H8" s="19" t="n"/>
      <c r="I8" s="40" t="n"/>
      <c r="J8" s="19" t="n"/>
      <c r="K8" s="19" t="n"/>
      <c r="L8" s="19" t="n"/>
      <c r="M8" s="12">
        <f>IF(C8="","",C8*fator_tributo)</f>
        <v/>
      </c>
      <c r="N8" s="12">
        <f>IFERROR(IF(OR(D8="",E8=""),"",D8/E8*1000),"")</f>
        <v/>
      </c>
      <c r="O8" s="41">
        <f>IFERROR(IF(OR(F8="",E8=""),"",F8/E8),"")</f>
        <v/>
      </c>
      <c r="P8" s="12">
        <f>IFERROR(IF(OR(D8="",G8=""),"",D8/G8),"")</f>
        <v/>
      </c>
      <c r="Q8" s="18">
        <f>IFERROR(IF(OR(J8="",G8=""),"",J8/G8),"")</f>
        <v/>
      </c>
      <c r="R8" s="18">
        <f>IFERROR(IF(OR(K8="",J8=""),"",K8/J8),"")</f>
        <v/>
      </c>
      <c r="S8" s="12">
        <f>IFERROR(IF(OR(M8="",L8=""),"",M8/L8),"")</f>
        <v/>
      </c>
      <c r="T8" s="12">
        <f>IF(L8="","",L8*ticket)</f>
        <v/>
      </c>
      <c r="U8" s="12">
        <f>IF(T8="","",T8*margem)</f>
        <v/>
      </c>
      <c r="V8" s="12">
        <f>IF(OR(U8="",M8=""),"",U8-M8)</f>
        <v/>
      </c>
      <c r="W8" s="16">
        <f>IFERROR(IF(OR(T8="",M8=""),"",T8/M8),"")</f>
        <v/>
      </c>
      <c r="X8" s="18">
        <f>IFERROR(IF(OR(M8="",T8=""),"",M8/T8),"")</f>
        <v/>
      </c>
      <c r="Y8" s="42">
        <f>IF(S8="","",IF(S8&lt;=meta_pessoa,"dentro da meta",IF(S8&lt;=empate_pessoa,"entre a meta e o empate","acima do empate")))</f>
        <v/>
      </c>
      <c r="Z8" s="43" t="n"/>
    </row>
    <row r="9">
      <c r="A9" s="38" t="n">
        <v>2</v>
      </c>
      <c r="B9" s="39">
        <f>B8+7</f>
        <v/>
      </c>
      <c r="C9" s="5" t="n"/>
      <c r="D9" s="5" t="n"/>
      <c r="E9" s="19" t="n"/>
      <c r="F9" s="19" t="n"/>
      <c r="G9" s="19" t="n"/>
      <c r="H9" s="19" t="n"/>
      <c r="I9" s="40" t="n"/>
      <c r="J9" s="19" t="n"/>
      <c r="K9" s="19" t="n"/>
      <c r="L9" s="19" t="n"/>
      <c r="M9" s="12">
        <f>IF(C9="","",C9*fator_tributo)</f>
        <v/>
      </c>
      <c r="N9" s="12">
        <f>IFERROR(IF(OR(D9="",E9=""),"",D9/E9*1000),"")</f>
        <v/>
      </c>
      <c r="O9" s="41">
        <f>IFERROR(IF(OR(F9="",E9=""),"",F9/E9),"")</f>
        <v/>
      </c>
      <c r="P9" s="12">
        <f>IFERROR(IF(OR(D9="",G9=""),"",D9/G9),"")</f>
        <v/>
      </c>
      <c r="Q9" s="18">
        <f>IFERROR(IF(OR(J9="",G9=""),"",J9/G9),"")</f>
        <v/>
      </c>
      <c r="R9" s="18">
        <f>IFERROR(IF(OR(K9="",J9=""),"",K9/J9),"")</f>
        <v/>
      </c>
      <c r="S9" s="12">
        <f>IFERROR(IF(OR(M9="",L9=""),"",M9/L9),"")</f>
        <v/>
      </c>
      <c r="T9" s="12">
        <f>IF(L9="","",L9*ticket)</f>
        <v/>
      </c>
      <c r="U9" s="12">
        <f>IF(T9="","",T9*margem)</f>
        <v/>
      </c>
      <c r="V9" s="12">
        <f>IF(OR(U9="",M9=""),"",U9-M9)</f>
        <v/>
      </c>
      <c r="W9" s="16">
        <f>IFERROR(IF(OR(T9="",M9=""),"",T9/M9),"")</f>
        <v/>
      </c>
      <c r="X9" s="18">
        <f>IFERROR(IF(OR(M9="",T9=""),"",M9/T9),"")</f>
        <v/>
      </c>
      <c r="Y9" s="42">
        <f>IF(S9="","",IF(S9&lt;=meta_pessoa,"dentro da meta",IF(S9&lt;=empate_pessoa,"entre a meta e o empate","acima do empate")))</f>
        <v/>
      </c>
      <c r="Z9" s="43" t="n"/>
    </row>
    <row r="10">
      <c r="A10" s="38" t="n">
        <v>3</v>
      </c>
      <c r="B10" s="39">
        <f>B9+7</f>
        <v/>
      </c>
      <c r="C10" s="5" t="n"/>
      <c r="D10" s="5" t="n"/>
      <c r="E10" s="19" t="n"/>
      <c r="F10" s="19" t="n"/>
      <c r="G10" s="19" t="n"/>
      <c r="H10" s="19" t="n"/>
      <c r="I10" s="40" t="n"/>
      <c r="J10" s="19" t="n"/>
      <c r="K10" s="19" t="n"/>
      <c r="L10" s="19" t="n"/>
      <c r="M10" s="12">
        <f>IF(C10="","",C10*fator_tributo)</f>
        <v/>
      </c>
      <c r="N10" s="12">
        <f>IFERROR(IF(OR(D10="",E10=""),"",D10/E10*1000),"")</f>
        <v/>
      </c>
      <c r="O10" s="41">
        <f>IFERROR(IF(OR(F10="",E10=""),"",F10/E10),"")</f>
        <v/>
      </c>
      <c r="P10" s="12">
        <f>IFERROR(IF(OR(D10="",G10=""),"",D10/G10),"")</f>
        <v/>
      </c>
      <c r="Q10" s="18">
        <f>IFERROR(IF(OR(J10="",G10=""),"",J10/G10),"")</f>
        <v/>
      </c>
      <c r="R10" s="18">
        <f>IFERROR(IF(OR(K10="",J10=""),"",K10/J10),"")</f>
        <v/>
      </c>
      <c r="S10" s="12">
        <f>IFERROR(IF(OR(M10="",L10=""),"",M10/L10),"")</f>
        <v/>
      </c>
      <c r="T10" s="12">
        <f>IF(L10="","",L10*ticket)</f>
        <v/>
      </c>
      <c r="U10" s="12">
        <f>IF(T10="","",T10*margem)</f>
        <v/>
      </c>
      <c r="V10" s="12">
        <f>IF(OR(U10="",M10=""),"",U10-M10)</f>
        <v/>
      </c>
      <c r="W10" s="16">
        <f>IFERROR(IF(OR(T10="",M10=""),"",T10/M10),"")</f>
        <v/>
      </c>
      <c r="X10" s="18">
        <f>IFERROR(IF(OR(M10="",T10=""),"",M10/T10),"")</f>
        <v/>
      </c>
      <c r="Y10" s="42">
        <f>IF(S10="","",IF(S10&lt;=meta_pessoa,"dentro da meta",IF(S10&lt;=empate_pessoa,"entre a meta e o empate","acima do empate")))</f>
        <v/>
      </c>
      <c r="Z10" s="43" t="n"/>
    </row>
    <row r="11">
      <c r="A11" s="38" t="n">
        <v>4</v>
      </c>
      <c r="B11" s="39">
        <f>B10+7</f>
        <v/>
      </c>
      <c r="C11" s="5" t="n"/>
      <c r="D11" s="5" t="n"/>
      <c r="E11" s="19" t="n"/>
      <c r="F11" s="19" t="n"/>
      <c r="G11" s="19" t="n"/>
      <c r="H11" s="19" t="n"/>
      <c r="I11" s="40" t="n"/>
      <c r="J11" s="19" t="n"/>
      <c r="K11" s="19" t="n"/>
      <c r="L11" s="19" t="n"/>
      <c r="M11" s="12">
        <f>IF(C11="","",C11*fator_tributo)</f>
        <v/>
      </c>
      <c r="N11" s="12">
        <f>IFERROR(IF(OR(D11="",E11=""),"",D11/E11*1000),"")</f>
        <v/>
      </c>
      <c r="O11" s="41">
        <f>IFERROR(IF(OR(F11="",E11=""),"",F11/E11),"")</f>
        <v/>
      </c>
      <c r="P11" s="12">
        <f>IFERROR(IF(OR(D11="",G11=""),"",D11/G11),"")</f>
        <v/>
      </c>
      <c r="Q11" s="18">
        <f>IFERROR(IF(OR(J11="",G11=""),"",J11/G11),"")</f>
        <v/>
      </c>
      <c r="R11" s="18">
        <f>IFERROR(IF(OR(K11="",J11=""),"",K11/J11),"")</f>
        <v/>
      </c>
      <c r="S11" s="12">
        <f>IFERROR(IF(OR(M11="",L11=""),"",M11/L11),"")</f>
        <v/>
      </c>
      <c r="T11" s="12">
        <f>IF(L11="","",L11*ticket)</f>
        <v/>
      </c>
      <c r="U11" s="12">
        <f>IF(T11="","",T11*margem)</f>
        <v/>
      </c>
      <c r="V11" s="12">
        <f>IF(OR(U11="",M11=""),"",U11-M11)</f>
        <v/>
      </c>
      <c r="W11" s="16">
        <f>IFERROR(IF(OR(T11="",M11=""),"",T11/M11),"")</f>
        <v/>
      </c>
      <c r="X11" s="18">
        <f>IFERROR(IF(OR(M11="",T11=""),"",M11/T11),"")</f>
        <v/>
      </c>
      <c r="Y11" s="42">
        <f>IF(S11="","",IF(S11&lt;=meta_pessoa,"dentro da meta",IF(S11&lt;=empate_pessoa,"entre a meta e o empate","acima do empate")))</f>
        <v/>
      </c>
      <c r="Z11" s="43" t="n"/>
    </row>
    <row r="12">
      <c r="A12" s="38" t="n">
        <v>5</v>
      </c>
      <c r="B12" s="39">
        <f>B11+7</f>
        <v/>
      </c>
      <c r="C12" s="5" t="n"/>
      <c r="D12" s="5" t="n"/>
      <c r="E12" s="19" t="n"/>
      <c r="F12" s="19" t="n"/>
      <c r="G12" s="19" t="n"/>
      <c r="H12" s="19" t="n"/>
      <c r="I12" s="40" t="n"/>
      <c r="J12" s="19" t="n"/>
      <c r="K12" s="19" t="n"/>
      <c r="L12" s="19" t="n"/>
      <c r="M12" s="12">
        <f>IF(C12="","",C12*fator_tributo)</f>
        <v/>
      </c>
      <c r="N12" s="12">
        <f>IFERROR(IF(OR(D12="",E12=""),"",D12/E12*1000),"")</f>
        <v/>
      </c>
      <c r="O12" s="41">
        <f>IFERROR(IF(OR(F12="",E12=""),"",F12/E12),"")</f>
        <v/>
      </c>
      <c r="P12" s="12">
        <f>IFERROR(IF(OR(D12="",G12=""),"",D12/G12),"")</f>
        <v/>
      </c>
      <c r="Q12" s="18">
        <f>IFERROR(IF(OR(J12="",G12=""),"",J12/G12),"")</f>
        <v/>
      </c>
      <c r="R12" s="18">
        <f>IFERROR(IF(OR(K12="",J12=""),"",K12/J12),"")</f>
        <v/>
      </c>
      <c r="S12" s="12">
        <f>IFERROR(IF(OR(M12="",L12=""),"",M12/L12),"")</f>
        <v/>
      </c>
      <c r="T12" s="12">
        <f>IF(L12="","",L12*ticket)</f>
        <v/>
      </c>
      <c r="U12" s="12">
        <f>IF(T12="","",T12*margem)</f>
        <v/>
      </c>
      <c r="V12" s="12">
        <f>IF(OR(U12="",M12=""),"",U12-M12)</f>
        <v/>
      </c>
      <c r="W12" s="16">
        <f>IFERROR(IF(OR(T12="",M12=""),"",T12/M12),"")</f>
        <v/>
      </c>
      <c r="X12" s="18">
        <f>IFERROR(IF(OR(M12="",T12=""),"",M12/T12),"")</f>
        <v/>
      </c>
      <c r="Y12" s="42">
        <f>IF(S12="","",IF(S12&lt;=meta_pessoa,"dentro da meta",IF(S12&lt;=empate_pessoa,"entre a meta e o empate","acima do empate")))</f>
        <v/>
      </c>
      <c r="Z12" s="43" t="n"/>
    </row>
    <row r="13">
      <c r="A13" s="38" t="n">
        <v>6</v>
      </c>
      <c r="B13" s="39">
        <f>B12+7</f>
        <v/>
      </c>
      <c r="C13" s="5" t="n"/>
      <c r="D13" s="5" t="n"/>
      <c r="E13" s="19" t="n"/>
      <c r="F13" s="19" t="n"/>
      <c r="G13" s="19" t="n"/>
      <c r="H13" s="19" t="n"/>
      <c r="I13" s="40" t="n"/>
      <c r="J13" s="19" t="n"/>
      <c r="K13" s="19" t="n"/>
      <c r="L13" s="19" t="n"/>
      <c r="M13" s="12">
        <f>IF(C13="","",C13*fator_tributo)</f>
        <v/>
      </c>
      <c r="N13" s="12">
        <f>IFERROR(IF(OR(D13="",E13=""),"",D13/E13*1000),"")</f>
        <v/>
      </c>
      <c r="O13" s="41">
        <f>IFERROR(IF(OR(F13="",E13=""),"",F13/E13),"")</f>
        <v/>
      </c>
      <c r="P13" s="12">
        <f>IFERROR(IF(OR(D13="",G13=""),"",D13/G13),"")</f>
        <v/>
      </c>
      <c r="Q13" s="18">
        <f>IFERROR(IF(OR(J13="",G13=""),"",J13/G13),"")</f>
        <v/>
      </c>
      <c r="R13" s="18">
        <f>IFERROR(IF(OR(K13="",J13=""),"",K13/J13),"")</f>
        <v/>
      </c>
      <c r="S13" s="12">
        <f>IFERROR(IF(OR(M13="",L13=""),"",M13/L13),"")</f>
        <v/>
      </c>
      <c r="T13" s="12">
        <f>IF(L13="","",L13*ticket)</f>
        <v/>
      </c>
      <c r="U13" s="12">
        <f>IF(T13="","",T13*margem)</f>
        <v/>
      </c>
      <c r="V13" s="12">
        <f>IF(OR(U13="",M13=""),"",U13-M13)</f>
        <v/>
      </c>
      <c r="W13" s="16">
        <f>IFERROR(IF(OR(T13="",M13=""),"",T13/M13),"")</f>
        <v/>
      </c>
      <c r="X13" s="18">
        <f>IFERROR(IF(OR(M13="",T13=""),"",M13/T13),"")</f>
        <v/>
      </c>
      <c r="Y13" s="42">
        <f>IF(S13="","",IF(S13&lt;=meta_pessoa,"dentro da meta",IF(S13&lt;=empate_pessoa,"entre a meta e o empate","acima do empate")))</f>
        <v/>
      </c>
      <c r="Z13" s="43" t="n"/>
    </row>
    <row r="14">
      <c r="A14" s="38" t="n">
        <v>7</v>
      </c>
      <c r="B14" s="39">
        <f>B13+7</f>
        <v/>
      </c>
      <c r="C14" s="5" t="n"/>
      <c r="D14" s="5" t="n"/>
      <c r="E14" s="19" t="n"/>
      <c r="F14" s="19" t="n"/>
      <c r="G14" s="19" t="n"/>
      <c r="H14" s="19" t="n"/>
      <c r="I14" s="40" t="n"/>
      <c r="J14" s="19" t="n"/>
      <c r="K14" s="19" t="n"/>
      <c r="L14" s="19" t="n"/>
      <c r="M14" s="12">
        <f>IF(C14="","",C14*fator_tributo)</f>
        <v/>
      </c>
      <c r="N14" s="12">
        <f>IFERROR(IF(OR(D14="",E14=""),"",D14/E14*1000),"")</f>
        <v/>
      </c>
      <c r="O14" s="41">
        <f>IFERROR(IF(OR(F14="",E14=""),"",F14/E14),"")</f>
        <v/>
      </c>
      <c r="P14" s="12">
        <f>IFERROR(IF(OR(D14="",G14=""),"",D14/G14),"")</f>
        <v/>
      </c>
      <c r="Q14" s="18">
        <f>IFERROR(IF(OR(J14="",G14=""),"",J14/G14),"")</f>
        <v/>
      </c>
      <c r="R14" s="18">
        <f>IFERROR(IF(OR(K14="",J14=""),"",K14/J14),"")</f>
        <v/>
      </c>
      <c r="S14" s="12">
        <f>IFERROR(IF(OR(M14="",L14=""),"",M14/L14),"")</f>
        <v/>
      </c>
      <c r="T14" s="12">
        <f>IF(L14="","",L14*ticket)</f>
        <v/>
      </c>
      <c r="U14" s="12">
        <f>IF(T14="","",T14*margem)</f>
        <v/>
      </c>
      <c r="V14" s="12">
        <f>IF(OR(U14="",M14=""),"",U14-M14)</f>
        <v/>
      </c>
      <c r="W14" s="16">
        <f>IFERROR(IF(OR(T14="",M14=""),"",T14/M14),"")</f>
        <v/>
      </c>
      <c r="X14" s="18">
        <f>IFERROR(IF(OR(M14="",T14=""),"",M14/T14),"")</f>
        <v/>
      </c>
      <c r="Y14" s="42">
        <f>IF(S14="","",IF(S14&lt;=meta_pessoa,"dentro da meta",IF(S14&lt;=empate_pessoa,"entre a meta e o empate","acima do empate")))</f>
        <v/>
      </c>
      <c r="Z14" s="43" t="n"/>
    </row>
    <row r="15">
      <c r="A15" s="38" t="n">
        <v>8</v>
      </c>
      <c r="B15" s="39">
        <f>B14+7</f>
        <v/>
      </c>
      <c r="C15" s="5" t="n"/>
      <c r="D15" s="5" t="n"/>
      <c r="E15" s="19" t="n"/>
      <c r="F15" s="19" t="n"/>
      <c r="G15" s="19" t="n"/>
      <c r="H15" s="19" t="n"/>
      <c r="I15" s="40" t="n"/>
      <c r="J15" s="19" t="n"/>
      <c r="K15" s="19" t="n"/>
      <c r="L15" s="19" t="n"/>
      <c r="M15" s="12">
        <f>IF(C15="","",C15*fator_tributo)</f>
        <v/>
      </c>
      <c r="N15" s="12">
        <f>IFERROR(IF(OR(D15="",E15=""),"",D15/E15*1000),"")</f>
        <v/>
      </c>
      <c r="O15" s="41">
        <f>IFERROR(IF(OR(F15="",E15=""),"",F15/E15),"")</f>
        <v/>
      </c>
      <c r="P15" s="12">
        <f>IFERROR(IF(OR(D15="",G15=""),"",D15/G15),"")</f>
        <v/>
      </c>
      <c r="Q15" s="18">
        <f>IFERROR(IF(OR(J15="",G15=""),"",J15/G15),"")</f>
        <v/>
      </c>
      <c r="R15" s="18">
        <f>IFERROR(IF(OR(K15="",J15=""),"",K15/J15),"")</f>
        <v/>
      </c>
      <c r="S15" s="12">
        <f>IFERROR(IF(OR(M15="",L15=""),"",M15/L15),"")</f>
        <v/>
      </c>
      <c r="T15" s="12">
        <f>IF(L15="","",L15*ticket)</f>
        <v/>
      </c>
      <c r="U15" s="12">
        <f>IF(T15="","",T15*margem)</f>
        <v/>
      </c>
      <c r="V15" s="12">
        <f>IF(OR(U15="",M15=""),"",U15-M15)</f>
        <v/>
      </c>
      <c r="W15" s="16">
        <f>IFERROR(IF(OR(T15="",M15=""),"",T15/M15),"")</f>
        <v/>
      </c>
      <c r="X15" s="18">
        <f>IFERROR(IF(OR(M15="",T15=""),"",M15/T15),"")</f>
        <v/>
      </c>
      <c r="Y15" s="42">
        <f>IF(S15="","",IF(S15&lt;=meta_pessoa,"dentro da meta",IF(S15&lt;=empate_pessoa,"entre a meta e o empate","acima do empate")))</f>
        <v/>
      </c>
      <c r="Z15" s="43" t="n"/>
    </row>
    <row r="16">
      <c r="A16" s="38" t="n">
        <v>9</v>
      </c>
      <c r="B16" s="39">
        <f>B15+7</f>
        <v/>
      </c>
      <c r="C16" s="5" t="n"/>
      <c r="D16" s="5" t="n"/>
      <c r="E16" s="19" t="n"/>
      <c r="F16" s="19" t="n"/>
      <c r="G16" s="19" t="n"/>
      <c r="H16" s="19" t="n"/>
      <c r="I16" s="40" t="n"/>
      <c r="J16" s="19" t="n"/>
      <c r="K16" s="19" t="n"/>
      <c r="L16" s="19" t="n"/>
      <c r="M16" s="12">
        <f>IF(C16="","",C16*fator_tributo)</f>
        <v/>
      </c>
      <c r="N16" s="12">
        <f>IFERROR(IF(OR(D16="",E16=""),"",D16/E16*1000),"")</f>
        <v/>
      </c>
      <c r="O16" s="41">
        <f>IFERROR(IF(OR(F16="",E16=""),"",F16/E16),"")</f>
        <v/>
      </c>
      <c r="P16" s="12">
        <f>IFERROR(IF(OR(D16="",G16=""),"",D16/G16),"")</f>
        <v/>
      </c>
      <c r="Q16" s="18">
        <f>IFERROR(IF(OR(J16="",G16=""),"",J16/G16),"")</f>
        <v/>
      </c>
      <c r="R16" s="18">
        <f>IFERROR(IF(OR(K16="",J16=""),"",K16/J16),"")</f>
        <v/>
      </c>
      <c r="S16" s="12">
        <f>IFERROR(IF(OR(M16="",L16=""),"",M16/L16),"")</f>
        <v/>
      </c>
      <c r="T16" s="12">
        <f>IF(L16="","",L16*ticket)</f>
        <v/>
      </c>
      <c r="U16" s="12">
        <f>IF(T16="","",T16*margem)</f>
        <v/>
      </c>
      <c r="V16" s="12">
        <f>IF(OR(U16="",M16=""),"",U16-M16)</f>
        <v/>
      </c>
      <c r="W16" s="16">
        <f>IFERROR(IF(OR(T16="",M16=""),"",T16/M16),"")</f>
        <v/>
      </c>
      <c r="X16" s="18">
        <f>IFERROR(IF(OR(M16="",T16=""),"",M16/T16),"")</f>
        <v/>
      </c>
      <c r="Y16" s="42">
        <f>IF(S16="","",IF(S16&lt;=meta_pessoa,"dentro da meta",IF(S16&lt;=empate_pessoa,"entre a meta e o empate","acima do empate")))</f>
        <v/>
      </c>
      <c r="Z16" s="43" t="n"/>
    </row>
    <row r="17">
      <c r="A17" s="38" t="n">
        <v>10</v>
      </c>
      <c r="B17" s="39">
        <f>B16+7</f>
        <v/>
      </c>
      <c r="C17" s="5" t="n"/>
      <c r="D17" s="5" t="n"/>
      <c r="E17" s="19" t="n"/>
      <c r="F17" s="19" t="n"/>
      <c r="G17" s="19" t="n"/>
      <c r="H17" s="19" t="n"/>
      <c r="I17" s="40" t="n"/>
      <c r="J17" s="19" t="n"/>
      <c r="K17" s="19" t="n"/>
      <c r="L17" s="19" t="n"/>
      <c r="M17" s="12">
        <f>IF(C17="","",C17*fator_tributo)</f>
        <v/>
      </c>
      <c r="N17" s="12">
        <f>IFERROR(IF(OR(D17="",E17=""),"",D17/E17*1000),"")</f>
        <v/>
      </c>
      <c r="O17" s="41">
        <f>IFERROR(IF(OR(F17="",E17=""),"",F17/E17),"")</f>
        <v/>
      </c>
      <c r="P17" s="12">
        <f>IFERROR(IF(OR(D17="",G17=""),"",D17/G17),"")</f>
        <v/>
      </c>
      <c r="Q17" s="18">
        <f>IFERROR(IF(OR(J17="",G17=""),"",J17/G17),"")</f>
        <v/>
      </c>
      <c r="R17" s="18">
        <f>IFERROR(IF(OR(K17="",J17=""),"",K17/J17),"")</f>
        <v/>
      </c>
      <c r="S17" s="12">
        <f>IFERROR(IF(OR(M17="",L17=""),"",M17/L17),"")</f>
        <v/>
      </c>
      <c r="T17" s="12">
        <f>IF(L17="","",L17*ticket)</f>
        <v/>
      </c>
      <c r="U17" s="12">
        <f>IF(T17="","",T17*margem)</f>
        <v/>
      </c>
      <c r="V17" s="12">
        <f>IF(OR(U17="",M17=""),"",U17-M17)</f>
        <v/>
      </c>
      <c r="W17" s="16">
        <f>IFERROR(IF(OR(T17="",M17=""),"",T17/M17),"")</f>
        <v/>
      </c>
      <c r="X17" s="18">
        <f>IFERROR(IF(OR(M17="",T17=""),"",M17/T17),"")</f>
        <v/>
      </c>
      <c r="Y17" s="42">
        <f>IF(S17="","",IF(S17&lt;=meta_pessoa,"dentro da meta",IF(S17&lt;=empate_pessoa,"entre a meta e o empate","acima do empate")))</f>
        <v/>
      </c>
      <c r="Z17" s="43" t="n"/>
    </row>
    <row r="18">
      <c r="A18" s="38" t="n">
        <v>11</v>
      </c>
      <c r="B18" s="39">
        <f>B17+7</f>
        <v/>
      </c>
      <c r="C18" s="5" t="n"/>
      <c r="D18" s="5" t="n"/>
      <c r="E18" s="19" t="n"/>
      <c r="F18" s="19" t="n"/>
      <c r="G18" s="19" t="n"/>
      <c r="H18" s="19" t="n"/>
      <c r="I18" s="40" t="n"/>
      <c r="J18" s="19" t="n"/>
      <c r="K18" s="19" t="n"/>
      <c r="L18" s="19" t="n"/>
      <c r="M18" s="12">
        <f>IF(C18="","",C18*fator_tributo)</f>
        <v/>
      </c>
      <c r="N18" s="12">
        <f>IFERROR(IF(OR(D18="",E18=""),"",D18/E18*1000),"")</f>
        <v/>
      </c>
      <c r="O18" s="41">
        <f>IFERROR(IF(OR(F18="",E18=""),"",F18/E18),"")</f>
        <v/>
      </c>
      <c r="P18" s="12">
        <f>IFERROR(IF(OR(D18="",G18=""),"",D18/G18),"")</f>
        <v/>
      </c>
      <c r="Q18" s="18">
        <f>IFERROR(IF(OR(J18="",G18=""),"",J18/G18),"")</f>
        <v/>
      </c>
      <c r="R18" s="18">
        <f>IFERROR(IF(OR(K18="",J18=""),"",K18/J18),"")</f>
        <v/>
      </c>
      <c r="S18" s="12">
        <f>IFERROR(IF(OR(M18="",L18=""),"",M18/L18),"")</f>
        <v/>
      </c>
      <c r="T18" s="12">
        <f>IF(L18="","",L18*ticket)</f>
        <v/>
      </c>
      <c r="U18" s="12">
        <f>IF(T18="","",T18*margem)</f>
        <v/>
      </c>
      <c r="V18" s="12">
        <f>IF(OR(U18="",M18=""),"",U18-M18)</f>
        <v/>
      </c>
      <c r="W18" s="16">
        <f>IFERROR(IF(OR(T18="",M18=""),"",T18/M18),"")</f>
        <v/>
      </c>
      <c r="X18" s="18">
        <f>IFERROR(IF(OR(M18="",T18=""),"",M18/T18),"")</f>
        <v/>
      </c>
      <c r="Y18" s="42">
        <f>IF(S18="","",IF(S18&lt;=meta_pessoa,"dentro da meta",IF(S18&lt;=empate_pessoa,"entre a meta e o empate","acima do empate")))</f>
        <v/>
      </c>
      <c r="Z18" s="43" t="n"/>
    </row>
    <row r="19">
      <c r="A19" s="38" t="n">
        <v>12</v>
      </c>
      <c r="B19" s="39">
        <f>B18+7</f>
        <v/>
      </c>
      <c r="C19" s="5" t="n"/>
      <c r="D19" s="5" t="n"/>
      <c r="E19" s="19" t="n"/>
      <c r="F19" s="19" t="n"/>
      <c r="G19" s="19" t="n"/>
      <c r="H19" s="19" t="n"/>
      <c r="I19" s="40" t="n"/>
      <c r="J19" s="19" t="n"/>
      <c r="K19" s="19" t="n"/>
      <c r="L19" s="19" t="n"/>
      <c r="M19" s="12">
        <f>IF(C19="","",C19*fator_tributo)</f>
        <v/>
      </c>
      <c r="N19" s="12">
        <f>IFERROR(IF(OR(D19="",E19=""),"",D19/E19*1000),"")</f>
        <v/>
      </c>
      <c r="O19" s="41">
        <f>IFERROR(IF(OR(F19="",E19=""),"",F19/E19),"")</f>
        <v/>
      </c>
      <c r="P19" s="12">
        <f>IFERROR(IF(OR(D19="",G19=""),"",D19/G19),"")</f>
        <v/>
      </c>
      <c r="Q19" s="18">
        <f>IFERROR(IF(OR(J19="",G19=""),"",J19/G19),"")</f>
        <v/>
      </c>
      <c r="R19" s="18">
        <f>IFERROR(IF(OR(K19="",J19=""),"",K19/J19),"")</f>
        <v/>
      </c>
      <c r="S19" s="12">
        <f>IFERROR(IF(OR(M19="",L19=""),"",M19/L19),"")</f>
        <v/>
      </c>
      <c r="T19" s="12">
        <f>IF(L19="","",L19*ticket)</f>
        <v/>
      </c>
      <c r="U19" s="12">
        <f>IF(T19="","",T19*margem)</f>
        <v/>
      </c>
      <c r="V19" s="12">
        <f>IF(OR(U19="",M19=""),"",U19-M19)</f>
        <v/>
      </c>
      <c r="W19" s="16">
        <f>IFERROR(IF(OR(T19="",M19=""),"",T19/M19),"")</f>
        <v/>
      </c>
      <c r="X19" s="18">
        <f>IFERROR(IF(OR(M19="",T19=""),"",M19/T19),"")</f>
        <v/>
      </c>
      <c r="Y19" s="42">
        <f>IF(S19="","",IF(S19&lt;=meta_pessoa,"dentro da meta",IF(S19&lt;=empate_pessoa,"entre a meta e o empate","acima do empate")))</f>
        <v/>
      </c>
      <c r="Z19" s="43" t="n"/>
    </row>
    <row r="21">
      <c r="B21" s="26" t="inlineStr">
        <is>
          <t>TOTAL</t>
        </is>
      </c>
      <c r="C21" s="10">
        <f>SUM(C8:C19)</f>
        <v/>
      </c>
      <c r="D21" s="10">
        <f>SUM(D8:D19)</f>
        <v/>
      </c>
      <c r="E21" s="44">
        <f>SUM(E8:E19)</f>
        <v/>
      </c>
      <c r="F21" s="44">
        <f>SUM(F8:F19)</f>
        <v/>
      </c>
      <c r="G21" s="44">
        <f>SUM(G8:G19)</f>
        <v/>
      </c>
      <c r="J21" s="44">
        <f>SUM(J8:J19)</f>
        <v/>
      </c>
      <c r="K21" s="44">
        <f>SUM(K8:K19)</f>
        <v/>
      </c>
      <c r="L21" s="44">
        <f>SUM(L8:L19)</f>
        <v/>
      </c>
      <c r="M21" s="10">
        <f>SUM(M8:M19)</f>
        <v/>
      </c>
      <c r="N21" s="10">
        <f>IFERROR(D21/E21*1000,"")</f>
        <v/>
      </c>
      <c r="O21" s="45">
        <f>IFERROR(F21/E21,"")</f>
        <v/>
      </c>
      <c r="P21" s="10">
        <f>IFERROR(D21/G21,"")</f>
        <v/>
      </c>
      <c r="Q21" s="9">
        <f>IFERROR(J21/G21,"")</f>
        <v/>
      </c>
      <c r="R21" s="9">
        <f>IFERROR(K21/J21,"")</f>
        <v/>
      </c>
      <c r="S21" s="10">
        <f>IFERROR(M21/L21,"")</f>
        <v/>
      </c>
      <c r="T21" s="10">
        <f>SUM(T8:T19)</f>
        <v/>
      </c>
      <c r="U21" s="10">
        <f>SUM(U8:U19)</f>
        <v/>
      </c>
      <c r="V21" s="10">
        <f>SUM(V8:V19)</f>
        <v/>
      </c>
      <c r="W21" s="17">
        <f>IFERROR(T21/M21,"")</f>
        <v/>
      </c>
      <c r="X21" s="9">
        <f>IFERROR(M21/T21,"")</f>
        <v/>
      </c>
      <c r="Y21" s="21">
        <f>IF(S21="","",IF(S21&lt;=meta_pessoa,"dentro da meta",IF(S21&lt;=empate_pessoa,"entre a meta e o empate","acima do empate")))</f>
        <v/>
      </c>
    </row>
    <row r="22">
      <c r="B22" s="28" t="inlineStr">
        <is>
          <t>As taxas do total saem das somas, não da média das semanas.</t>
        </is>
      </c>
    </row>
  </sheetData>
  <conditionalFormatting sqref="Y8:Y21">
    <cfRule type="cellIs" priority="1" operator="equal" dxfId="1">
      <formula>"dentro da meta"</formula>
    </cfRule>
    <cfRule type="cellIs" priority="2" operator="equal" dxfId="2">
      <formula>"entre a meta e o empate"</formula>
    </cfRule>
    <cfRule type="cellIs" priority="3" operator="equal" dxfId="0">
      <formula>"acima do empate"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3" customWidth="1" min="4" max="4"/>
    <col width="34" customWidth="1" min="5" max="5"/>
    <col width="11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34" customWidth="1" min="17" max="17"/>
  </cols>
  <sheetData>
    <row r="1">
      <c r="A1" s="1" t="inlineStr">
        <is>
          <t>Criativos · qual gancho e qual ângulo funcionam</t>
        </is>
      </c>
    </row>
    <row r="2">
      <c r="A2" s="2" t="inlineStr">
        <is>
          <t>Uma linha por anúncio, com os números acumulados desde que entrou no ar: Gerenciador, nível de anúncio, período máximo. Atualize quando for decidir se pausa e na revisão do mês.</t>
        </is>
      </c>
    </row>
    <row r="4" ht="40" customHeight="1">
      <c r="A4" s="15" t="inlineStr">
        <is>
          <t>Código</t>
        </is>
      </c>
      <c r="B4" s="15" t="inlineStr">
        <is>
          <t>Campanha</t>
        </is>
      </c>
      <c r="C4" s="15" t="inlineStr">
        <is>
          <t>Ângulo</t>
        </is>
      </c>
      <c r="D4" s="15" t="inlineStr">
        <is>
          <t>Formato</t>
        </is>
      </c>
      <c r="E4" s="15" t="inlineStr">
        <is>
          <t>Gancho, os 3 primeiros segundos</t>
        </is>
      </c>
      <c r="F4" s="15" t="inlineStr">
        <is>
          <t>No ar desde</t>
        </is>
      </c>
      <c r="G4" s="15" t="inlineStr">
        <is>
          <t>Gasto no Gerenciador</t>
        </is>
      </c>
      <c r="H4" s="15" t="inlineStr">
        <is>
          <t>Impressões</t>
        </is>
      </c>
      <c r="I4" s="15" t="inlineStr">
        <is>
          <t>Reproduções de 3 s</t>
        </is>
      </c>
      <c r="J4" s="15" t="inlineStr">
        <is>
          <t>ThruPlays</t>
        </is>
      </c>
      <c r="K4" s="15" t="inlineStr">
        <is>
          <t>Cliques no link</t>
        </is>
      </c>
      <c r="L4" s="15" t="inlineStr">
        <is>
          <t>Conversas</t>
        </is>
      </c>
      <c r="M4" s="15" t="inlineStr">
        <is>
          <t>Taxa de gancho</t>
        </is>
      </c>
      <c r="N4" s="15" t="inlineStr">
        <is>
          <t>Retenção</t>
        </is>
      </c>
      <c r="O4" s="15" t="inlineStr">
        <is>
          <t>CTR do link</t>
        </is>
      </c>
      <c r="P4" s="15" t="inlineStr">
        <is>
          <t>Custo por conversa</t>
        </is>
      </c>
      <c r="Q4" s="15" t="inlineStr">
        <is>
          <t>Sugestão</t>
        </is>
      </c>
    </row>
    <row r="5">
      <c r="A5" s="29" t="inlineStr">
        <is>
          <t>EXEMPLO_REELS_v1</t>
        </is>
      </c>
      <c r="B5" s="29" t="inlineStr">
        <is>
          <t>QT_RES_WPP</t>
        </is>
      </c>
      <c r="C5" s="29" t="inlineStr">
        <is>
          <t>Destino</t>
        </is>
      </c>
      <c r="D5" s="29" t="inlineStr">
        <is>
          <t>Reels 9:16</t>
        </is>
      </c>
      <c r="E5" s="29" t="inlineStr">
        <is>
          <t>exemplo, apague</t>
        </is>
      </c>
      <c r="F5" s="29" t="n"/>
      <c r="G5" s="30" t="n">
        <v>420</v>
      </c>
      <c r="H5" s="31" t="n">
        <v>30000</v>
      </c>
      <c r="I5" s="31" t="n">
        <v>9300</v>
      </c>
      <c r="J5" s="31" t="n">
        <v>2100</v>
      </c>
      <c r="K5" s="31" t="n">
        <v>260</v>
      </c>
      <c r="L5" s="31" t="n">
        <v>38</v>
      </c>
      <c r="M5" s="35">
        <f>IFERROR(IF(OR(H5="",I5=""),"",I5/H5),"")</f>
        <v/>
      </c>
      <c r="N5" s="35">
        <f>IFERROR(IF(OR(I5="",J5=""),"",J5/I5),"")</f>
        <v/>
      </c>
      <c r="O5" s="34">
        <f>IFERROR(IF(OR(H5="",K5=""),"",K5/H5),"")</f>
        <v/>
      </c>
      <c r="P5" s="33">
        <f>IFERROR(IF(OR(G5="",L5="",L5=0),"",G5/L5),"")</f>
        <v/>
      </c>
      <c r="Q5" s="37">
        <f>IF(H5="","",IF(H5&lt;1000,"cedo para julgar",IF(LEFT(B5,6)="QT_VIT",IF(AND(I5&lt;&gt;"",M5&lt;0.2),"refazer os 3 primeiros segundos","vitrine: julgar por alcance e gancho"),IF(L5=0,IF(G5&gt;=2*meta_conversa,"pausar: gastou 2x a meta sem conversa","ainda sem conversa: observar"),IF(AND(I5&lt;&gt;"",M5&lt;0.2),"refazer os 3 primeiros segundos",IF(AND(K5&lt;&gt;"",O5&lt;0.005),"rever texto, oferta e botão",IF(P5&lt;=meta_conversa,"manter: dentro da meta","observar: acima da meta")))))))</f>
        <v/>
      </c>
    </row>
    <row r="6" ht="30" customHeight="1">
      <c r="A6" s="8" t="inlineStr">
        <is>
          <t>DEST_REELS_FORNO_v1</t>
        </is>
      </c>
      <c r="B6" s="4" t="inlineStr">
        <is>
          <t>QT_RES_WPP</t>
        </is>
      </c>
      <c r="C6" s="4" t="inlineStr">
        <is>
          <t>Destino</t>
        </is>
      </c>
      <c r="D6" s="4" t="inlineStr">
        <is>
          <t>Reels 9:16</t>
        </is>
      </c>
      <c r="E6" s="4" t="inlineStr">
        <is>
          <t>pizza entra no forno, borda estufando, 400°C na tela</t>
        </is>
      </c>
      <c r="F6" s="27" t="n"/>
      <c r="G6" s="5" t="n"/>
      <c r="H6" s="19" t="n"/>
      <c r="I6" s="19" t="n"/>
      <c r="J6" s="19" t="n"/>
      <c r="K6" s="19" t="n"/>
      <c r="L6" s="19" t="n"/>
      <c r="M6" s="18">
        <f>IFERROR(IF(OR(H6="",I6=""),"",I6/H6),"")</f>
        <v/>
      </c>
      <c r="N6" s="18">
        <f>IFERROR(IF(OR(I6="",J6=""),"",J6/I6),"")</f>
        <v/>
      </c>
      <c r="O6" s="41">
        <f>IFERROR(IF(OR(H6="",K6=""),"",K6/H6),"")</f>
        <v/>
      </c>
      <c r="P6" s="12">
        <f>IFERROR(IF(OR(G6="",L6="",L6=0),"",G6/L6),"")</f>
        <v/>
      </c>
      <c r="Q6" s="42">
        <f>IF(H6="","",IF(H6&lt;1000,"cedo para julgar",IF(LEFT(B6,6)="QT_VIT",IF(AND(I6&lt;&gt;"",M6&lt;0.2),"refazer os 3 primeiros segundos","vitrine: julgar por alcance e gancho"),IF(L6=0,IF(G6&gt;=2*meta_conversa,"pausar: gastou 2x a meta sem conversa","ainda sem conversa: observar"),IF(AND(I6&lt;&gt;"",M6&lt;0.2),"refazer os 3 primeiros segundos",IF(AND(K6&lt;&gt;"",O6&lt;0.005),"rever texto, oferta e botão",IF(P6&lt;=meta_conversa,"manter: dentro da meta","observar: acima da meta")))))))</f>
        <v/>
      </c>
    </row>
    <row r="7" ht="30" customHeight="1">
      <c r="A7" s="8" t="inlineStr">
        <is>
          <t>OCAS_REELS_SALAO_v1</t>
        </is>
      </c>
      <c r="B7" s="4" t="inlineStr">
        <is>
          <t>QT_RES_WPP</t>
        </is>
      </c>
      <c r="C7" s="4" t="inlineStr">
        <is>
          <t>Ocasião</t>
        </is>
      </c>
      <c r="D7" s="4" t="inlineStr">
        <is>
          <t>Reels 9:16</t>
        </is>
      </c>
      <c r="E7" s="4" t="inlineStr">
        <is>
          <t>salão às 20h, câmera atravessando até a mesa</t>
        </is>
      </c>
      <c r="F7" s="27" t="n"/>
      <c r="G7" s="5" t="n"/>
      <c r="H7" s="19" t="n"/>
      <c r="I7" s="19" t="n"/>
      <c r="J7" s="19" t="n"/>
      <c r="K7" s="19" t="n"/>
      <c r="L7" s="19" t="n"/>
      <c r="M7" s="18">
        <f>IFERROR(IF(OR(H7="",I7=""),"",I7/H7),"")</f>
        <v/>
      </c>
      <c r="N7" s="18">
        <f>IFERROR(IF(OR(I7="",J7=""),"",J7/I7),"")</f>
        <v/>
      </c>
      <c r="O7" s="41">
        <f>IFERROR(IF(OR(H7="",K7=""),"",K7/H7),"")</f>
        <v/>
      </c>
      <c r="P7" s="12">
        <f>IFERROR(IF(OR(G7="",L7="",L7=0),"",G7/L7),"")</f>
        <v/>
      </c>
      <c r="Q7" s="42">
        <f>IF(H7="","",IF(H7&lt;1000,"cedo para julgar",IF(LEFT(B7,6)="QT_VIT",IF(AND(I7&lt;&gt;"",M7&lt;0.2),"refazer os 3 primeiros segundos","vitrine: julgar por alcance e gancho"),IF(L7=0,IF(G7&gt;=2*meta_conversa,"pausar: gastou 2x a meta sem conversa","ainda sem conversa: observar"),IF(AND(I7&lt;&gt;"",M7&lt;0.2),"refazer os 3 primeiros segundos",IF(AND(K7&lt;&gt;"",O7&lt;0.005),"rever texto, oferta e botão",IF(P7&lt;=meta_conversa,"manter: dentro da meta","observar: acima da meta")))))))</f>
        <v/>
      </c>
    </row>
    <row r="8" ht="30" customHeight="1">
      <c r="A8" s="8" t="inlineStr">
        <is>
          <t>PROC_CARROSSEL_48H_v1</t>
        </is>
      </c>
      <c r="B8" s="4" t="inlineStr">
        <is>
          <t>QT_RES_WPP</t>
        </is>
      </c>
      <c r="C8" s="4" t="inlineStr">
        <is>
          <t>Processo</t>
        </is>
      </c>
      <c r="D8" s="4" t="inlineStr">
        <is>
          <t>Carrossel 4:5</t>
        </is>
      </c>
      <c r="E8" s="4" t="inlineStr">
        <is>
          <t>disco de massa aberto com as bolhas, 48 horas</t>
        </is>
      </c>
      <c r="F8" s="27" t="n"/>
      <c r="G8" s="5" t="n"/>
      <c r="H8" s="19" t="n"/>
      <c r="I8" s="19" t="n"/>
      <c r="J8" s="19" t="n"/>
      <c r="K8" s="19" t="n"/>
      <c r="L8" s="19" t="n"/>
      <c r="M8" s="18">
        <f>IFERROR(IF(OR(H8="",I8=""),"",I8/H8),"")</f>
        <v/>
      </c>
      <c r="N8" s="18">
        <f>IFERROR(IF(OR(I8="",J8=""),"",J8/I8),"")</f>
        <v/>
      </c>
      <c r="O8" s="41">
        <f>IFERROR(IF(OR(H8="",K8=""),"",K8/H8),"")</f>
        <v/>
      </c>
      <c r="P8" s="12">
        <f>IFERROR(IF(OR(G8="",L8="",L8=0),"",G8/L8),"")</f>
        <v/>
      </c>
      <c r="Q8" s="42">
        <f>IF(H8="","",IF(H8&lt;1000,"cedo para julgar",IF(LEFT(B8,6)="QT_VIT",IF(AND(I8&lt;&gt;"",M8&lt;0.2),"refazer os 3 primeiros segundos","vitrine: julgar por alcance e gancho"),IF(L8=0,IF(G8&gt;=2*meta_conversa,"pausar: gastou 2x a meta sem conversa","ainda sem conversa: observar"),IF(AND(I8&lt;&gt;"",M8&lt;0.2),"refazer os 3 primeiros segundos",IF(AND(K8&lt;&gt;"",O8&lt;0.005),"rever texto, oferta e botão",IF(P8&lt;=meta_conversa,"manter: dentro da meta","observar: acima da meta")))))))</f>
        <v/>
      </c>
    </row>
    <row r="9" ht="30" customHeight="1">
      <c r="A9" s="8" t="inlineStr">
        <is>
          <t>DEST_FOTO_MARGHERITA_v1</t>
        </is>
      </c>
      <c r="B9" s="4" t="inlineStr">
        <is>
          <t>QT_RES_WPP</t>
        </is>
      </c>
      <c r="C9" s="4" t="inlineStr">
        <is>
          <t>Destino</t>
        </is>
      </c>
      <c r="D9" s="4" t="inlineStr">
        <is>
          <t>Foto 4:5</t>
        </is>
      </c>
      <c r="E9" s="4" t="inlineStr">
        <is>
          <t>Margherita vista de cima, selo do 50 Top Pizza</t>
        </is>
      </c>
      <c r="F9" s="27" t="n"/>
      <c r="G9" s="5" t="n"/>
      <c r="H9" s="19" t="n"/>
      <c r="I9" s="19" t="n"/>
      <c r="J9" s="19" t="n"/>
      <c r="K9" s="19" t="n"/>
      <c r="L9" s="19" t="n"/>
      <c r="M9" s="18">
        <f>IFERROR(IF(OR(H9="",I9=""),"",I9/H9),"")</f>
        <v/>
      </c>
      <c r="N9" s="18">
        <f>IFERROR(IF(OR(I9="",J9=""),"",J9/I9),"")</f>
        <v/>
      </c>
      <c r="O9" s="41">
        <f>IFERROR(IF(OR(H9="",K9=""),"",K9/H9),"")</f>
        <v/>
      </c>
      <c r="P9" s="12">
        <f>IFERROR(IF(OR(G9="",L9="",L9=0),"",G9/L9),"")</f>
        <v/>
      </c>
      <c r="Q9" s="42">
        <f>IF(H9="","",IF(H9&lt;1000,"cedo para julgar",IF(LEFT(B9,6)="QT_VIT",IF(AND(I9&lt;&gt;"",M9&lt;0.2),"refazer os 3 primeiros segundos","vitrine: julgar por alcance e gancho"),IF(L9=0,IF(G9&gt;=2*meta_conversa,"pausar: gastou 2x a meta sem conversa","ainda sem conversa: observar"),IF(AND(I9&lt;&gt;"",M9&lt;0.2),"refazer os 3 primeiros segundos",IF(AND(K9&lt;&gt;"",O9&lt;0.005),"rever texto, oferta e botão",IF(P9&lt;=meta_conversa,"manter: dentro da meta","observar: acima da meta")))))))</f>
        <v/>
      </c>
    </row>
    <row r="10" ht="30" customHeight="1">
      <c r="A10" s="8" t="inlineStr">
        <is>
          <t>VIT_REELS_BORDA_v1</t>
        </is>
      </c>
      <c r="B10" s="4" t="inlineStr">
        <is>
          <t>QT_VIT_ALC</t>
        </is>
      </c>
      <c r="C10" s="4" t="inlineStr">
        <is>
          <t>Vitrine</t>
        </is>
      </c>
      <c r="D10" s="4" t="inlineStr">
        <is>
          <t>Reels 9:16</t>
        </is>
      </c>
      <c r="E10" s="4" t="inlineStr">
        <is>
          <t>borda estufando em tempo real, 400°C</t>
        </is>
      </c>
      <c r="F10" s="27" t="n"/>
      <c r="G10" s="5" t="n"/>
      <c r="H10" s="19" t="n"/>
      <c r="I10" s="19" t="n"/>
      <c r="J10" s="19" t="n"/>
      <c r="K10" s="19" t="n"/>
      <c r="L10" s="19" t="n"/>
      <c r="M10" s="18">
        <f>IFERROR(IF(OR(H10="",I10=""),"",I10/H10),"")</f>
        <v/>
      </c>
      <c r="N10" s="18">
        <f>IFERROR(IF(OR(I10="",J10=""),"",J10/I10),"")</f>
        <v/>
      </c>
      <c r="O10" s="41">
        <f>IFERROR(IF(OR(H10="",K10=""),"",K10/H10),"")</f>
        <v/>
      </c>
      <c r="P10" s="12">
        <f>IFERROR(IF(OR(G10="",L10="",L10=0),"",G10/L10),"")</f>
        <v/>
      </c>
      <c r="Q10" s="42">
        <f>IF(H10="","",IF(H10&lt;1000,"cedo para julgar",IF(LEFT(B10,6)="QT_VIT",IF(AND(I10&lt;&gt;"",M10&lt;0.2),"refazer os 3 primeiros segundos","vitrine: julgar por alcance e gancho"),IF(L10=0,IF(G10&gt;=2*meta_conversa,"pausar: gastou 2x a meta sem conversa","ainda sem conversa: observar"),IF(AND(I10&lt;&gt;"",M10&lt;0.2),"refazer os 3 primeiros segundos",IF(AND(K10&lt;&gt;"",O10&lt;0.005),"rever texto, oferta e botão",IF(P10&lt;=meta_conversa,"manter: dentro da meta","observar: acima da meta")))))))</f>
        <v/>
      </c>
    </row>
    <row r="11" ht="30" customHeight="1">
      <c r="A11" s="8" t="inlineStr">
        <is>
          <t>VIT_REELS_SALAO_v1</t>
        </is>
      </c>
      <c r="B11" s="4" t="inlineStr">
        <is>
          <t>QT_VIT_ALC</t>
        </is>
      </c>
      <c r="C11" s="4" t="inlineStr">
        <is>
          <t>Vitrine</t>
        </is>
      </c>
      <c r="D11" s="4" t="inlineStr">
        <is>
          <t>Reels 9:16</t>
        </is>
      </c>
      <c r="E11" s="4" t="inlineStr">
        <is>
          <t>salão se enchendo, a luz baixando</t>
        </is>
      </c>
      <c r="F11" s="27" t="n"/>
      <c r="G11" s="5" t="n"/>
      <c r="H11" s="19" t="n"/>
      <c r="I11" s="19" t="n"/>
      <c r="J11" s="19" t="n"/>
      <c r="K11" s="19" t="n"/>
      <c r="L11" s="19" t="n"/>
      <c r="M11" s="18">
        <f>IFERROR(IF(OR(H11="",I11=""),"",I11/H11),"")</f>
        <v/>
      </c>
      <c r="N11" s="18">
        <f>IFERROR(IF(OR(I11="",J11=""),"",J11/I11),"")</f>
        <v/>
      </c>
      <c r="O11" s="41">
        <f>IFERROR(IF(OR(H11="",K11=""),"",K11/H11),"")</f>
        <v/>
      </c>
      <c r="P11" s="12">
        <f>IFERROR(IF(OR(G11="",L11="",L11=0),"",G11/L11),"")</f>
        <v/>
      </c>
      <c r="Q11" s="42">
        <f>IF(H11="","",IF(H11&lt;1000,"cedo para julgar",IF(LEFT(B11,6)="QT_VIT",IF(AND(I11&lt;&gt;"",M11&lt;0.2),"refazer os 3 primeiros segundos","vitrine: julgar por alcance e gancho"),IF(L11=0,IF(G11&gt;=2*meta_conversa,"pausar: gastou 2x a meta sem conversa","ainda sem conversa: observar"),IF(AND(I11&lt;&gt;"",M11&lt;0.2),"refazer os 3 primeiros segundos",IF(AND(K11&lt;&gt;"",O11&lt;0.005),"rever texto, oferta e botão",IF(P11&lt;=meta_conversa,"manter: dentro da meta","observar: acima da meta")))))))</f>
        <v/>
      </c>
    </row>
    <row r="12" ht="30" customHeight="1">
      <c r="A12" s="43" t="n"/>
      <c r="B12" s="43" t="n"/>
      <c r="C12" s="43" t="n"/>
      <c r="D12" s="43" t="n"/>
      <c r="E12" s="43" t="n"/>
      <c r="F12" s="27" t="n"/>
      <c r="G12" s="5" t="n"/>
      <c r="H12" s="19" t="n"/>
      <c r="I12" s="19" t="n"/>
      <c r="J12" s="19" t="n"/>
      <c r="K12" s="19" t="n"/>
      <c r="L12" s="19" t="n"/>
      <c r="M12" s="18">
        <f>IFERROR(IF(OR(H12="",I12=""),"",I12/H12),"")</f>
        <v/>
      </c>
      <c r="N12" s="18">
        <f>IFERROR(IF(OR(I12="",J12=""),"",J12/I12),"")</f>
        <v/>
      </c>
      <c r="O12" s="41">
        <f>IFERROR(IF(OR(H12="",K12=""),"",K12/H12),"")</f>
        <v/>
      </c>
      <c r="P12" s="12">
        <f>IFERROR(IF(OR(G12="",L12="",L12=0),"",G12/L12),"")</f>
        <v/>
      </c>
      <c r="Q12" s="42">
        <f>IF(H12="","",IF(H12&lt;1000,"cedo para julgar",IF(LEFT(B12,6)="QT_VIT",IF(AND(I12&lt;&gt;"",M12&lt;0.2),"refazer os 3 primeiros segundos","vitrine: julgar por alcance e gancho"),IF(L12=0,IF(G12&gt;=2*meta_conversa,"pausar: gastou 2x a meta sem conversa","ainda sem conversa: observar"),IF(AND(I12&lt;&gt;"",M12&lt;0.2),"refazer os 3 primeiros segundos",IF(AND(K12&lt;&gt;"",O12&lt;0.005),"rever texto, oferta e botão",IF(P12&lt;=meta_conversa,"manter: dentro da meta","observar: acima da meta")))))))</f>
        <v/>
      </c>
    </row>
    <row r="13" ht="30" customHeight="1">
      <c r="A13" s="43" t="n"/>
      <c r="B13" s="43" t="n"/>
      <c r="C13" s="43" t="n"/>
      <c r="D13" s="43" t="n"/>
      <c r="E13" s="43" t="n"/>
      <c r="F13" s="27" t="n"/>
      <c r="G13" s="5" t="n"/>
      <c r="H13" s="19" t="n"/>
      <c r="I13" s="19" t="n"/>
      <c r="J13" s="19" t="n"/>
      <c r="K13" s="19" t="n"/>
      <c r="L13" s="19" t="n"/>
      <c r="M13" s="18">
        <f>IFERROR(IF(OR(H13="",I13=""),"",I13/H13),"")</f>
        <v/>
      </c>
      <c r="N13" s="18">
        <f>IFERROR(IF(OR(I13="",J13=""),"",J13/I13),"")</f>
        <v/>
      </c>
      <c r="O13" s="41">
        <f>IFERROR(IF(OR(H13="",K13=""),"",K13/H13),"")</f>
        <v/>
      </c>
      <c r="P13" s="12">
        <f>IFERROR(IF(OR(G13="",L13="",L13=0),"",G13/L13),"")</f>
        <v/>
      </c>
      <c r="Q13" s="42">
        <f>IF(H13="","",IF(H13&lt;1000,"cedo para julgar",IF(LEFT(B13,6)="QT_VIT",IF(AND(I13&lt;&gt;"",M13&lt;0.2),"refazer os 3 primeiros segundos","vitrine: julgar por alcance e gancho"),IF(L13=0,IF(G13&gt;=2*meta_conversa,"pausar: gastou 2x a meta sem conversa","ainda sem conversa: observar"),IF(AND(I13&lt;&gt;"",M13&lt;0.2),"refazer os 3 primeiros segundos",IF(AND(K13&lt;&gt;"",O13&lt;0.005),"rever texto, oferta e botão",IF(P13&lt;=meta_conversa,"manter: dentro da meta","observar: acima da meta")))))))</f>
        <v/>
      </c>
    </row>
    <row r="14" ht="30" customHeight="1">
      <c r="A14" s="43" t="n"/>
      <c r="B14" s="43" t="n"/>
      <c r="C14" s="43" t="n"/>
      <c r="D14" s="43" t="n"/>
      <c r="E14" s="43" t="n"/>
      <c r="F14" s="27" t="n"/>
      <c r="G14" s="5" t="n"/>
      <c r="H14" s="19" t="n"/>
      <c r="I14" s="19" t="n"/>
      <c r="J14" s="19" t="n"/>
      <c r="K14" s="19" t="n"/>
      <c r="L14" s="19" t="n"/>
      <c r="M14" s="18">
        <f>IFERROR(IF(OR(H14="",I14=""),"",I14/H14),"")</f>
        <v/>
      </c>
      <c r="N14" s="18">
        <f>IFERROR(IF(OR(I14="",J14=""),"",J14/I14),"")</f>
        <v/>
      </c>
      <c r="O14" s="41">
        <f>IFERROR(IF(OR(H14="",K14=""),"",K14/H14),"")</f>
        <v/>
      </c>
      <c r="P14" s="12">
        <f>IFERROR(IF(OR(G14="",L14="",L14=0),"",G14/L14),"")</f>
        <v/>
      </c>
      <c r="Q14" s="42">
        <f>IF(H14="","",IF(H14&lt;1000,"cedo para julgar",IF(LEFT(B14,6)="QT_VIT",IF(AND(I14&lt;&gt;"",M14&lt;0.2),"refazer os 3 primeiros segundos","vitrine: julgar por alcance e gancho"),IF(L14=0,IF(G14&gt;=2*meta_conversa,"pausar: gastou 2x a meta sem conversa","ainda sem conversa: observar"),IF(AND(I14&lt;&gt;"",M14&lt;0.2),"refazer os 3 primeiros segundos",IF(AND(K14&lt;&gt;"",O14&lt;0.005),"rever texto, oferta e botão",IF(P14&lt;=meta_conversa,"manter: dentro da meta","observar: acima da meta")))))))</f>
        <v/>
      </c>
    </row>
    <row r="15" ht="30" customHeight="1">
      <c r="A15" s="43" t="n"/>
      <c r="B15" s="43" t="n"/>
      <c r="C15" s="43" t="n"/>
      <c r="D15" s="43" t="n"/>
      <c r="E15" s="43" t="n"/>
      <c r="F15" s="27" t="n"/>
      <c r="G15" s="5" t="n"/>
      <c r="H15" s="19" t="n"/>
      <c r="I15" s="19" t="n"/>
      <c r="J15" s="19" t="n"/>
      <c r="K15" s="19" t="n"/>
      <c r="L15" s="19" t="n"/>
      <c r="M15" s="18">
        <f>IFERROR(IF(OR(H15="",I15=""),"",I15/H15),"")</f>
        <v/>
      </c>
      <c r="N15" s="18">
        <f>IFERROR(IF(OR(I15="",J15=""),"",J15/I15),"")</f>
        <v/>
      </c>
      <c r="O15" s="41">
        <f>IFERROR(IF(OR(H15="",K15=""),"",K15/H15),"")</f>
        <v/>
      </c>
      <c r="P15" s="12">
        <f>IFERROR(IF(OR(G15="",L15="",L15=0),"",G15/L15),"")</f>
        <v/>
      </c>
      <c r="Q15" s="42">
        <f>IF(H15="","",IF(H15&lt;1000,"cedo para julgar",IF(LEFT(B15,6)="QT_VIT",IF(AND(I15&lt;&gt;"",M15&lt;0.2),"refazer os 3 primeiros segundos","vitrine: julgar por alcance e gancho"),IF(L15=0,IF(G15&gt;=2*meta_conversa,"pausar: gastou 2x a meta sem conversa","ainda sem conversa: observar"),IF(AND(I15&lt;&gt;"",M15&lt;0.2),"refazer os 3 primeiros segundos",IF(AND(K15&lt;&gt;"",O15&lt;0.005),"rever texto, oferta e botão",IF(P15&lt;=meta_conversa,"manter: dentro da meta","observar: acima da meta")))))))</f>
        <v/>
      </c>
    </row>
    <row r="16" ht="30" customHeight="1">
      <c r="A16" s="43" t="n"/>
      <c r="B16" s="43" t="n"/>
      <c r="C16" s="43" t="n"/>
      <c r="D16" s="43" t="n"/>
      <c r="E16" s="43" t="n"/>
      <c r="F16" s="27" t="n"/>
      <c r="G16" s="5" t="n"/>
      <c r="H16" s="19" t="n"/>
      <c r="I16" s="19" t="n"/>
      <c r="J16" s="19" t="n"/>
      <c r="K16" s="19" t="n"/>
      <c r="L16" s="19" t="n"/>
      <c r="M16" s="18">
        <f>IFERROR(IF(OR(H16="",I16=""),"",I16/H16),"")</f>
        <v/>
      </c>
      <c r="N16" s="18">
        <f>IFERROR(IF(OR(I16="",J16=""),"",J16/I16),"")</f>
        <v/>
      </c>
      <c r="O16" s="41">
        <f>IFERROR(IF(OR(H16="",K16=""),"",K16/H16),"")</f>
        <v/>
      </c>
      <c r="P16" s="12">
        <f>IFERROR(IF(OR(G16="",L16="",L16=0),"",G16/L16),"")</f>
        <v/>
      </c>
      <c r="Q16" s="42">
        <f>IF(H16="","",IF(H16&lt;1000,"cedo para julgar",IF(LEFT(B16,6)="QT_VIT",IF(AND(I16&lt;&gt;"",M16&lt;0.2),"refazer os 3 primeiros segundos","vitrine: julgar por alcance e gancho"),IF(L16=0,IF(G16&gt;=2*meta_conversa,"pausar: gastou 2x a meta sem conversa","ainda sem conversa: observar"),IF(AND(I16&lt;&gt;"",M16&lt;0.2),"refazer os 3 primeiros segundos",IF(AND(K16&lt;&gt;"",O16&lt;0.005),"rever texto, oferta e botão",IF(P16&lt;=meta_conversa,"manter: dentro da meta","observar: acima da meta")))))))</f>
        <v/>
      </c>
    </row>
    <row r="17" ht="30" customHeight="1">
      <c r="A17" s="43" t="n"/>
      <c r="B17" s="43" t="n"/>
      <c r="C17" s="43" t="n"/>
      <c r="D17" s="43" t="n"/>
      <c r="E17" s="43" t="n"/>
      <c r="F17" s="27" t="n"/>
      <c r="G17" s="5" t="n"/>
      <c r="H17" s="19" t="n"/>
      <c r="I17" s="19" t="n"/>
      <c r="J17" s="19" t="n"/>
      <c r="K17" s="19" t="n"/>
      <c r="L17" s="19" t="n"/>
      <c r="M17" s="18">
        <f>IFERROR(IF(OR(H17="",I17=""),"",I17/H17),"")</f>
        <v/>
      </c>
      <c r="N17" s="18">
        <f>IFERROR(IF(OR(I17="",J17=""),"",J17/I17),"")</f>
        <v/>
      </c>
      <c r="O17" s="41">
        <f>IFERROR(IF(OR(H17="",K17=""),"",K17/H17),"")</f>
        <v/>
      </c>
      <c r="P17" s="12">
        <f>IFERROR(IF(OR(G17="",L17="",L17=0),"",G17/L17),"")</f>
        <v/>
      </c>
      <c r="Q17" s="42">
        <f>IF(H17="","",IF(H17&lt;1000,"cedo para julgar",IF(LEFT(B17,6)="QT_VIT",IF(AND(I17&lt;&gt;"",M17&lt;0.2),"refazer os 3 primeiros segundos","vitrine: julgar por alcance e gancho"),IF(L17=0,IF(G17&gt;=2*meta_conversa,"pausar: gastou 2x a meta sem conversa","ainda sem conversa: observar"),IF(AND(I17&lt;&gt;"",M17&lt;0.2),"refazer os 3 primeiros segundos",IF(AND(K17&lt;&gt;"",O17&lt;0.005),"rever texto, oferta e botão",IF(P17&lt;=meta_conversa,"manter: dentro da meta","observar: acima da meta")))))))</f>
        <v/>
      </c>
    </row>
    <row r="18" ht="30" customHeight="1">
      <c r="A18" s="43" t="n"/>
      <c r="B18" s="43" t="n"/>
      <c r="C18" s="43" t="n"/>
      <c r="D18" s="43" t="n"/>
      <c r="E18" s="43" t="n"/>
      <c r="F18" s="27" t="n"/>
      <c r="G18" s="5" t="n"/>
      <c r="H18" s="19" t="n"/>
      <c r="I18" s="19" t="n"/>
      <c r="J18" s="19" t="n"/>
      <c r="K18" s="19" t="n"/>
      <c r="L18" s="19" t="n"/>
      <c r="M18" s="18">
        <f>IFERROR(IF(OR(H18="",I18=""),"",I18/H18),"")</f>
        <v/>
      </c>
      <c r="N18" s="18">
        <f>IFERROR(IF(OR(I18="",J18=""),"",J18/I18),"")</f>
        <v/>
      </c>
      <c r="O18" s="41">
        <f>IFERROR(IF(OR(H18="",K18=""),"",K18/H18),"")</f>
        <v/>
      </c>
      <c r="P18" s="12">
        <f>IFERROR(IF(OR(G18="",L18="",L18=0),"",G18/L18),"")</f>
        <v/>
      </c>
      <c r="Q18" s="42">
        <f>IF(H18="","",IF(H18&lt;1000,"cedo para julgar",IF(LEFT(B18,6)="QT_VIT",IF(AND(I18&lt;&gt;"",M18&lt;0.2),"refazer os 3 primeiros segundos","vitrine: julgar por alcance e gancho"),IF(L18=0,IF(G18&gt;=2*meta_conversa,"pausar: gastou 2x a meta sem conversa","ainda sem conversa: observar"),IF(AND(I18&lt;&gt;"",M18&lt;0.2),"refazer os 3 primeiros segundos",IF(AND(K18&lt;&gt;"",O18&lt;0.005),"rever texto, oferta e botão",IF(P18&lt;=meta_conversa,"manter: dentro da meta","observar: acima da meta")))))))</f>
        <v/>
      </c>
    </row>
    <row r="19" ht="30" customHeight="1">
      <c r="A19" s="43" t="n"/>
      <c r="B19" s="43" t="n"/>
      <c r="C19" s="43" t="n"/>
      <c r="D19" s="43" t="n"/>
      <c r="E19" s="43" t="n"/>
      <c r="F19" s="27" t="n"/>
      <c r="G19" s="5" t="n"/>
      <c r="H19" s="19" t="n"/>
      <c r="I19" s="19" t="n"/>
      <c r="J19" s="19" t="n"/>
      <c r="K19" s="19" t="n"/>
      <c r="L19" s="19" t="n"/>
      <c r="M19" s="18">
        <f>IFERROR(IF(OR(H19="",I19=""),"",I19/H19),"")</f>
        <v/>
      </c>
      <c r="N19" s="18">
        <f>IFERROR(IF(OR(I19="",J19=""),"",J19/I19),"")</f>
        <v/>
      </c>
      <c r="O19" s="41">
        <f>IFERROR(IF(OR(H19="",K19=""),"",K19/H19),"")</f>
        <v/>
      </c>
      <c r="P19" s="12">
        <f>IFERROR(IF(OR(G19="",L19="",L19=0),"",G19/L19),"")</f>
        <v/>
      </c>
      <c r="Q19" s="42">
        <f>IF(H19="","",IF(H19&lt;1000,"cedo para julgar",IF(LEFT(B19,6)="QT_VIT",IF(AND(I19&lt;&gt;"",M19&lt;0.2),"refazer os 3 primeiros segundos","vitrine: julgar por alcance e gancho"),IF(L19=0,IF(G19&gt;=2*meta_conversa,"pausar: gastou 2x a meta sem conversa","ainda sem conversa: observar"),IF(AND(I19&lt;&gt;"",M19&lt;0.2),"refazer os 3 primeiros segundos",IF(AND(K19&lt;&gt;"",O19&lt;0.005),"rever texto, oferta e botão",IF(P19&lt;=meta_conversa,"manter: dentro da meta","observar: acima da meta")))))))</f>
        <v/>
      </c>
    </row>
  </sheetData>
  <dataValidations count="3">
    <dataValidation sqref="C6:C19" showDropDown="0" showInputMessage="0" showErrorMessage="0" allowBlank="1" type="list">
      <formula1>"Destino,Ocasião,Processo,Produto,Vitrine"</formula1>
    </dataValidation>
    <dataValidation sqref="D6:D19" showDropDown="0" showInputMessage="0" showErrorMessage="0" allowBlank="1" type="list">
      <formula1>"Reels 9:16,Foto 4:5,Carrossel 4:5,Vídeo 4:5"</formula1>
    </dataValidation>
    <dataValidation sqref="B6:B19" showDropDown="0" showInputMessage="0" showErrorMessage="0" allowBlank="1" type="list">
      <formula1>"QT_RES_WPP,QT_VIT_ALC,QT_GRP_WPP"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74" customWidth="1" min="2" max="2"/>
    <col width="20" customWidth="1" min="3" max="3"/>
    <col width="10" customWidth="1" min="4" max="4"/>
    <col width="9" customWidth="1" min="5" max="5"/>
  </cols>
  <sheetData>
    <row r="1">
      <c r="A1" s="1" t="inlineStr">
        <is>
          <t>Checklist · semana 0 e lançamento</t>
        </is>
      </c>
    </row>
    <row r="2">
      <c r="A2" s="2" t="inlineStr">
        <is>
          <t>Marque sim na coluna Feito. O contador do topo soma sozinho.</t>
        </is>
      </c>
    </row>
    <row r="3">
      <c r="B3" s="3">
        <f>"Feitos: "&amp;COUNTIF(E6:E28,"sim")&amp;" de 20"</f>
        <v/>
      </c>
    </row>
    <row r="5" ht="32" customHeight="1">
      <c r="A5" s="15" t="inlineStr">
        <is>
          <t>#</t>
        </is>
      </c>
      <c r="B5" s="15" t="inlineStr">
        <is>
          <t>Tarefa</t>
        </is>
      </c>
      <c r="C5" s="15" t="inlineStr">
        <is>
          <t>Quem</t>
        </is>
      </c>
      <c r="D5" s="15" t="inlineStr">
        <is>
          <t>Apostila</t>
        </is>
      </c>
      <c r="E5" s="15" t="inlineStr">
        <is>
          <t>Feito</t>
        </is>
      </c>
    </row>
    <row r="6">
      <c r="B6" s="46" t="inlineStr">
        <is>
          <t>Semana 0</t>
        </is>
      </c>
    </row>
    <row r="7">
      <c r="A7" s="38" t="n">
        <v>1</v>
      </c>
      <c r="B7" s="4" t="inlineStr">
        <is>
          <t>Criar o portfólio empresarial e conectar Página, Instagram e WhatsApp</t>
        </is>
      </c>
      <c r="C7" s="4" t="inlineStr">
        <is>
          <t>Matheus</t>
        </is>
      </c>
      <c r="D7" s="4" t="inlineStr">
        <is>
          <t>4.2</t>
        </is>
      </c>
      <c r="E7" s="43" t="n"/>
    </row>
    <row r="8">
      <c r="A8" s="38" t="n">
        <v>2</v>
      </c>
      <c r="B8" s="4" t="inlineStr">
        <is>
          <t>Criar a conta de anúncios em Real e no fuso de São Paulo</t>
        </is>
      </c>
      <c r="C8" s="4" t="inlineStr">
        <is>
          <t>Matheus</t>
        </is>
      </c>
      <c r="D8" s="4" t="inlineStr">
        <is>
          <t>4.2</t>
        </is>
      </c>
      <c r="E8" s="43" t="n"/>
    </row>
    <row r="9">
      <c r="A9" s="38" t="n">
        <v>3</v>
      </c>
      <c r="B9" s="4" t="inlineStr">
        <is>
          <t>Cadastrar pagamento e CNPJ</t>
        </is>
      </c>
      <c r="C9" s="4" t="inlineStr">
        <is>
          <t>Matheus ou financeiro</t>
        </is>
      </c>
      <c r="D9" s="4" t="inlineStr">
        <is>
          <t>4.2</t>
        </is>
      </c>
      <c r="E9" s="43" t="n"/>
    </row>
    <row r="10">
      <c r="A10" s="38" t="n">
        <v>4</v>
      </c>
      <c r="B10" s="4" t="inlineStr">
        <is>
          <t>Dois administradores e autenticação em dois fatores para todos</t>
        </is>
      </c>
      <c r="C10" s="4" t="inlineStr">
        <is>
          <t>Matheus</t>
        </is>
      </c>
      <c r="D10" s="4" t="inlineStr">
        <is>
          <t>4.2</t>
        </is>
      </c>
      <c r="E10" s="43" t="n"/>
    </row>
    <row r="11">
      <c r="A11" s="38" t="n">
        <v>5</v>
      </c>
      <c r="B11" s="4" t="inlineStr">
        <is>
          <t>Configurar saudação, ausência, respostas rápidas e etiquetas no WhatsApp Business</t>
        </is>
      </c>
      <c r="C11" s="4" t="inlineStr">
        <is>
          <t>recepção</t>
        </is>
      </c>
      <c r="D11" s="4" t="inlineStr">
        <is>
          <t>plano</t>
        </is>
      </c>
      <c r="E11" s="43" t="n"/>
    </row>
    <row r="12">
      <c r="A12" s="38" t="n">
        <v>6</v>
      </c>
      <c r="B12" s="4" t="inlineStr">
        <is>
          <t>Definir o responsável pelo WhatsApp em cada turno e o tempo de resposta</t>
        </is>
      </c>
      <c r="C12" s="4" t="inlineStr">
        <is>
          <t>gerente</t>
        </is>
      </c>
      <c r="D12" s="4" t="inlineStr">
        <is>
          <t>4.4</t>
        </is>
      </c>
      <c r="E12" s="43" t="n"/>
    </row>
    <row r="13">
      <c r="A13" s="38" t="n">
        <v>7</v>
      </c>
      <c r="B13" s="4" t="inlineStr">
        <is>
          <t>Coluna origem no livro de reservas e a pergunta: como conheceu a QT?</t>
        </is>
      </c>
      <c r="C13" s="4" t="inlineStr">
        <is>
          <t>gerente</t>
        </is>
      </c>
      <c r="D13" s="4" t="inlineStr">
        <is>
          <t>9.2</t>
        </is>
      </c>
      <c r="E13" s="43" t="n"/>
    </row>
    <row r="14">
      <c r="A14" s="38" t="n">
        <v>8</v>
      </c>
      <c r="B14" s="4" t="inlineStr">
        <is>
          <t>Ticket médio sem os 13% levantado no Altec e lançado na Calculadora</t>
        </is>
      </c>
      <c r="C14" s="4" t="inlineStr">
        <is>
          <t>Matheus</t>
        </is>
      </c>
      <c r="D14" s="4" t="inlineStr">
        <is>
          <t>7.2</t>
        </is>
      </c>
      <c r="E14" s="43" t="n"/>
    </row>
    <row r="15">
      <c r="A15" s="38" t="n">
        <v>9</v>
      </c>
      <c r="B15" s="4" t="inlineStr">
        <is>
          <t>Couverts de terça a quinta das 4 últimas semanas anotados</t>
        </is>
      </c>
      <c r="C15" s="4" t="inlineStr">
        <is>
          <t>gerente</t>
        </is>
      </c>
      <c r="D15" s="4" t="inlineStr">
        <is>
          <t>9.4</t>
        </is>
      </c>
      <c r="E15" s="43" t="n"/>
    </row>
    <row r="16">
      <c r="A16" s="38" t="n">
        <v>10</v>
      </c>
      <c r="B16" s="4" t="inlineStr">
        <is>
          <t>Os 6 criativos separados ou gravados</t>
        </is>
      </c>
      <c r="C16" s="4" t="inlineStr">
        <is>
          <t>Matheus e equipe</t>
        </is>
      </c>
      <c r="D16" s="4" t="inlineStr">
        <is>
          <t>6</t>
        </is>
      </c>
      <c r="E16" s="43" t="n"/>
    </row>
    <row r="17">
      <c r="A17" s="38" t="n">
        <v>11</v>
      </c>
      <c r="B17" s="4" t="inlineStr">
        <is>
          <t>Campanhas A e B montadas no Gerenciador, ainda sem publicar</t>
        </is>
      </c>
      <c r="C17" s="4" t="inlineStr">
        <is>
          <t>Matheus</t>
        </is>
      </c>
      <c r="D17" s="4" t="inlineStr">
        <is>
          <t>8</t>
        </is>
      </c>
      <c r="E17" s="43" t="n"/>
    </row>
    <row r="18">
      <c r="B18" s="46" t="inlineStr">
        <is>
          <t>Antes de publicar</t>
        </is>
      </c>
    </row>
    <row r="19">
      <c r="A19" s="38" t="n">
        <v>12</v>
      </c>
      <c r="B19" s="4" t="inlineStr">
        <is>
          <t>Idade mínima de 18 em todos os conjuntos</t>
        </is>
      </c>
      <c r="C19" s="4" t="inlineStr">
        <is>
          <t>Matheus</t>
        </is>
      </c>
      <c r="D19" s="4" t="inlineStr">
        <is>
          <t>6.8</t>
        </is>
      </c>
      <c r="E19" s="43" t="n"/>
    </row>
    <row r="20">
      <c r="A20" s="38" t="n">
        <v>13</v>
      </c>
      <c r="B20" s="4" t="inlineStr">
        <is>
          <t>Melhorias de criativo revisadas, as que alteram imagem e texto desligadas</t>
        </is>
      </c>
      <c r="C20" s="4" t="inlineStr">
        <is>
          <t>Matheus</t>
        </is>
      </c>
      <c r="D20" s="4" t="inlineStr">
        <is>
          <t>6.7</t>
        </is>
      </c>
      <c r="E20" s="43" t="n"/>
    </row>
    <row r="21">
      <c r="A21" s="38" t="n">
        <v>14</v>
      </c>
      <c r="B21" s="4" t="inlineStr">
        <is>
          <t>Mensagem pré-preenchida diferente em cada campanha</t>
        </is>
      </c>
      <c r="C21" s="4" t="inlineStr">
        <is>
          <t>Matheus</t>
        </is>
      </c>
      <c r="D21" s="4" t="inlineStr">
        <is>
          <t>9.2</t>
        </is>
      </c>
      <c r="E21" s="43" t="n"/>
    </row>
    <row r="22">
      <c r="A22" s="38" t="n">
        <v>15</v>
      </c>
      <c r="B22" s="4" t="inlineStr">
        <is>
          <t>Teste do caminho: na pré-visualização, tocar no botão e conferir se abre o WhatsApp da QT</t>
        </is>
      </c>
      <c r="C22" s="4" t="inlineStr">
        <is>
          <t>Matheus</t>
        </is>
      </c>
      <c r="D22" s="4" t="inlineStr">
        <is>
          <t>8.1</t>
        </is>
      </c>
      <c r="E22" s="43" t="n"/>
    </row>
    <row r="23">
      <c r="A23" s="38" t="n">
        <v>16</v>
      </c>
      <c r="B23" s="4" t="inlineStr">
        <is>
          <t>Advertência de álcool nos anúncios em que o drink aparece</t>
        </is>
      </c>
      <c r="C23" s="4" t="inlineStr">
        <is>
          <t>Matheus</t>
        </is>
      </c>
      <c r="D23" s="4" t="inlineStr">
        <is>
          <t>6.8</t>
        </is>
      </c>
      <c r="E23" s="43" t="n"/>
    </row>
    <row r="24">
      <c r="A24" s="38" t="n">
        <v>17</v>
      </c>
      <c r="B24" s="4" t="inlineStr">
        <is>
          <t>Texto dentro da zona segura do 9:16</t>
        </is>
      </c>
      <c r="C24" s="4" t="inlineStr">
        <is>
          <t>Matheus</t>
        </is>
      </c>
      <c r="D24" s="4" t="inlineStr">
        <is>
          <t>6.2</t>
        </is>
      </c>
      <c r="E24" s="43" t="n"/>
    </row>
    <row r="25">
      <c r="B25" s="46" t="inlineStr">
        <is>
          <t>Primeira semana</t>
        </is>
      </c>
    </row>
    <row r="26">
      <c r="A26" s="38" t="n">
        <v>18</v>
      </c>
      <c r="B26" s="4" t="inlineStr">
        <is>
          <t>Publicado numa terça de manhã, com a equipe avisada</t>
        </is>
      </c>
      <c r="C26" s="4" t="inlineStr">
        <is>
          <t>Matheus</t>
        </is>
      </c>
      <c r="D26" s="4" t="inlineStr">
        <is>
          <t>8.1</t>
        </is>
      </c>
      <c r="E26" s="43" t="n"/>
    </row>
    <row r="27">
      <c r="A27" s="38" t="n">
        <v>19</v>
      </c>
      <c r="B27" s="4" t="inlineStr">
        <is>
          <t>Três dias sem mexer: conferir só entrega, conversas e atendimento</t>
        </is>
      </c>
      <c r="C27" s="4" t="inlineStr">
        <is>
          <t>Matheus</t>
        </is>
      </c>
      <c r="D27" s="4" t="inlineStr">
        <is>
          <t>8.3</t>
        </is>
      </c>
      <c r="E27" s="43" t="n"/>
    </row>
    <row r="28">
      <c r="A28" s="38" t="n">
        <v>20</v>
      </c>
      <c r="B28" s="4" t="inlineStr">
        <is>
          <t>Primeira linha da aba Semanal preenchida na segunda</t>
        </is>
      </c>
      <c r="C28" s="4" t="inlineStr">
        <is>
          <t>Matheus</t>
        </is>
      </c>
      <c r="D28" s="4" t="inlineStr">
        <is>
          <t>10.1</t>
        </is>
      </c>
      <c r="E28" s="43" t="n"/>
    </row>
  </sheetData>
  <dataValidations count="1">
    <dataValidation sqref="E6:E2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32" customWidth="1" min="3" max="3"/>
    <col width="52" customWidth="1" min="4" max="4"/>
  </cols>
  <sheetData>
    <row r="1">
      <c r="A1" s="1" t="inlineStr">
        <is>
          <t>Como ler os números</t>
        </is>
      </c>
    </row>
    <row r="2">
      <c r="A2" s="2" t="inlineStr">
        <is>
          <t>As faixas de referência são ponto de partida. Depois de quatro semanas, o número que vale é o da própria QT.</t>
        </is>
      </c>
    </row>
    <row r="4" ht="32" customHeight="1">
      <c r="A4" s="15" t="inlineStr">
        <is>
          <t>Métrica</t>
        </is>
      </c>
      <c r="B4" s="15" t="inlineStr">
        <is>
          <t>O que é</t>
        </is>
      </c>
      <c r="C4" s="15" t="inlineStr">
        <is>
          <t>Conta</t>
        </is>
      </c>
      <c r="D4" s="15" t="inlineStr">
        <is>
          <t>Referência</t>
        </is>
      </c>
    </row>
    <row r="5">
      <c r="A5" s="47" t="inlineStr">
        <is>
          <t>Alcance</t>
        </is>
      </c>
      <c r="B5" s="48" t="inlineStr">
        <is>
          <t>pessoas diferentes que viram o anúncio</t>
        </is>
      </c>
      <c r="C5" s="48" t="inlineStr"/>
      <c r="D5" s="48" t="inlineStr"/>
    </row>
    <row r="6">
      <c r="A6" s="47" t="inlineStr">
        <is>
          <t>Impressões</t>
        </is>
      </c>
      <c r="B6" s="48" t="inlineStr">
        <is>
          <t>quantas vezes o anúncio apareceu</t>
        </is>
      </c>
      <c r="C6" s="48" t="inlineStr"/>
      <c r="D6" s="48" t="inlineStr"/>
    </row>
    <row r="7">
      <c r="A7" s="47" t="inlineStr">
        <is>
          <t>Frequência</t>
        </is>
      </c>
      <c r="B7" s="48" t="inlineStr">
        <is>
          <t>quantas vezes, em média, cada pessoa viu</t>
        </is>
      </c>
      <c r="C7" s="48" t="inlineStr">
        <is>
          <t>impressões ÷ alcance</t>
        </is>
      </c>
      <c r="D7" s="48" t="inlineStr">
        <is>
          <t>vitrine perto de 2 em 7 dias. Na reserva, acima de 3 com CTR caindo é cansaço</t>
        </is>
      </c>
    </row>
    <row r="8">
      <c r="A8" s="47" t="inlineStr">
        <is>
          <t>CPM</t>
        </is>
      </c>
      <c r="B8" s="48" t="inlineStr">
        <is>
          <t>custo de mil impressões, o preço do leilão</t>
        </is>
      </c>
      <c r="C8" s="48" t="inlineStr">
        <is>
          <t>gasto ÷ impressões × 1.000</t>
        </is>
      </c>
      <c r="D8" s="48" t="inlineStr">
        <is>
          <t>Brasil 2026, fontes de mercado: R$ 12 a R$ 26 na média, Reels e Stories de R$ 8 a R$ 20</t>
        </is>
      </c>
    </row>
    <row r="9">
      <c r="A9" s="47" t="inlineStr">
        <is>
          <t>CTR do link</t>
        </is>
      </c>
      <c r="B9" s="48" t="inlineStr">
        <is>
          <t>parte das impressões que virou toque no botão</t>
        </is>
      </c>
      <c r="C9" s="48" t="inlineStr">
        <is>
          <t>cliques no link ÷ impressões</t>
        </is>
      </c>
      <c r="D9" s="48" t="inlineStr">
        <is>
          <t>abaixo de 0,5%, o anúncio prende mas não convida</t>
        </is>
      </c>
    </row>
    <row r="10">
      <c r="A10" s="47" t="inlineStr">
        <is>
          <t>Conversa iniciada</t>
        </is>
      </c>
      <c r="B10" s="48" t="inlineStr">
        <is>
          <t>alguém mandou a primeira mensagem pelo anúncio</t>
        </is>
      </c>
      <c r="C10" s="48" t="inlineStr"/>
      <c r="D10" s="48" t="inlineStr">
        <is>
          <t>é o resultado da campanha de reserva</t>
        </is>
      </c>
    </row>
    <row r="11">
      <c r="A11" s="47" t="inlineStr">
        <is>
          <t>Custo por conversa</t>
        </is>
      </c>
      <c r="B11" s="48" t="inlineStr">
        <is>
          <t>quanto custou cada conversa, sem tributo</t>
        </is>
      </c>
      <c r="C11" s="48" t="inlineStr">
        <is>
          <t>gasto ÷ conversas</t>
        </is>
      </c>
      <c r="D11" s="48" t="inlineStr">
        <is>
          <t>a meta está na Calculadora, seção 4</t>
        </is>
      </c>
    </row>
    <row r="12">
      <c r="A12" s="47" t="inlineStr">
        <is>
          <t>Taxa de gancho</t>
        </is>
      </c>
      <c r="B12" s="48" t="inlineStr">
        <is>
          <t>parte de quem viu que ficou 3 segundos</t>
        </is>
      </c>
      <c r="C12" s="48" t="inlineStr">
        <is>
          <t>reproduções de 3 s ÷ impressões</t>
        </is>
      </c>
      <c r="D12" s="48" t="inlineStr">
        <is>
          <t>abaixo de 20%, refazer o começo. De 25% a 30% para cima, funciona</t>
        </is>
      </c>
    </row>
    <row r="13">
      <c r="A13" s="47" t="inlineStr">
        <is>
          <t>Retenção</t>
        </is>
      </c>
      <c r="B13" s="48" t="inlineStr">
        <is>
          <t>de quem passou dos 3 segundos, quantos chegaram ao ThruPlay</t>
        </is>
      </c>
      <c r="C13" s="48" t="inlineStr">
        <is>
          <t>ThruPlays ÷ reproduções de 3 s</t>
        </is>
      </c>
      <c r="D13" s="48" t="inlineStr">
        <is>
          <t>compare entre os seus vídeos</t>
        </is>
      </c>
    </row>
    <row r="14">
      <c r="A14" s="47" t="inlineStr">
        <is>
          <t>ThruPlay</t>
        </is>
      </c>
      <c r="B14" s="48" t="inlineStr">
        <is>
          <t>vídeo assistido até o fim ou por 15 segundos</t>
        </is>
      </c>
      <c r="C14" s="48" t="inlineStr"/>
      <c r="D14" s="48" t="inlineStr"/>
    </row>
    <row r="15">
      <c r="A15" s="47" t="inlineStr">
        <is>
          <t>Conversa que vira reserva</t>
        </is>
      </c>
      <c r="B15" s="48" t="inlineStr">
        <is>
          <t>parte das conversas que fechou reserva</t>
        </is>
      </c>
      <c r="C15" s="48" t="inlineStr">
        <is>
          <t>reservas ÷ conversas</t>
        </is>
      </c>
      <c r="D15" s="48" t="inlineStr">
        <is>
          <t>abaixo de 15%, o problema está no atendimento ou na oferta</t>
        </is>
      </c>
    </row>
    <row r="16">
      <c r="A16" s="47" t="inlineStr">
        <is>
          <t>Comparecimento</t>
        </is>
      </c>
      <c r="B16" s="48" t="inlineStr">
        <is>
          <t>parte das reservas que apareceu</t>
        </is>
      </c>
      <c r="C16" s="48" t="inlineStr">
        <is>
          <t>mesas que vieram ÷ reservas</t>
        </is>
      </c>
      <c r="D16" s="48" t="inlineStr">
        <is>
          <t>confirmação na véspera sobe esse número</t>
        </is>
      </c>
    </row>
    <row r="17">
      <c r="A17" s="47" t="inlineStr">
        <is>
          <t>Custo real por pessoa</t>
        </is>
      </c>
      <c r="B17" s="48" t="inlineStr">
        <is>
          <t>o que a QT pagou, com tributo, por pessoa sentada</t>
        </is>
      </c>
      <c r="C17" s="48" t="inlineStr">
        <is>
          <t>gasto real ÷ pessoas atendidas</t>
        </is>
      </c>
      <c r="D17" s="48" t="inlineStr">
        <is>
          <t>a métrica que manda: compare com a meta e o empate da Calculadora</t>
        </is>
      </c>
    </row>
    <row r="18">
      <c r="A18" s="47" t="inlineStr">
        <is>
          <t>ROAS real</t>
        </is>
      </c>
      <c r="B18" s="48" t="inlineStr">
        <is>
          <t>faturamento por real de anúncio</t>
        </is>
      </c>
      <c r="C18" s="48" t="inlineStr">
        <is>
          <t>faturamento ÷ gasto real</t>
        </is>
      </c>
      <c r="D18" s="48" t="inlineStr">
        <is>
          <t>empate e meta na Calculadora</t>
        </is>
      </c>
    </row>
    <row r="19">
      <c r="A19" s="47" t="inlineStr">
        <is>
          <t>% de mídia</t>
        </is>
      </c>
      <c r="B19" s="48" t="inlineStr">
        <is>
          <t>o CMV do marketing</t>
        </is>
      </c>
      <c r="C19" s="48" t="inlineStr">
        <is>
          <t>gasto real ÷ faturamento</t>
        </is>
      </c>
      <c r="D19" s="48" t="inlineStr">
        <is>
          <t>empate e meta na Calculadora</t>
        </is>
      </c>
    </row>
    <row r="20">
      <c r="A20" s="47" t="inlineStr">
        <is>
          <t>Fator do tributo</t>
        </is>
      </c>
      <c r="B20" s="48" t="inlineStr">
        <is>
          <t>o que transforma o valor do Gerenciador em fatura</t>
        </is>
      </c>
      <c r="C20" s="48" t="inlineStr">
        <is>
          <t>1 ÷ (1 − 12,15%)</t>
        </is>
      </c>
      <c r="D20" s="48" t="inlineStr">
        <is>
          <t>1,1383. R$ 100 no Gerenciador são R$ 113,83 na fatura</t>
        </is>
      </c>
    </row>
    <row r="22">
      <c r="A22" s="3" t="inlineStr">
        <is>
          <t>Regras de decisão · uma por segunda</t>
        </is>
      </c>
    </row>
    <row r="23" ht="32" customHeight="1">
      <c r="A23" s="15" t="inlineStr">
        <is>
          <t>Sinal</t>
        </is>
      </c>
      <c r="B23" s="15" t="inlineStr">
        <is>
          <t>Leitura</t>
        </is>
      </c>
      <c r="C23" s="15" t="inlineStr">
        <is>
          <t>O que fazer</t>
        </is>
      </c>
      <c r="D23" s="15" t="inlineStr"/>
    </row>
    <row r="24">
      <c r="A24" s="48" t="inlineStr">
        <is>
          <t>Menos de 1.000 impressões ou menos de 3 dias</t>
        </is>
      </c>
      <c r="B24" s="48" t="inlineStr">
        <is>
          <t>cedo demais</t>
        </is>
      </c>
      <c r="C24" s="48" t="inlineStr">
        <is>
          <t>não mexer</t>
        </is>
      </c>
    </row>
    <row r="25">
      <c r="A25" s="48" t="inlineStr">
        <is>
          <t>Anúncio gastou 2× a meta de custo por conversa sem nenhuma conversa</t>
        </is>
      </c>
      <c r="B25" s="48" t="inlineStr">
        <is>
          <t>não funciona</t>
        </is>
      </c>
      <c r="C25" s="48" t="inlineStr">
        <is>
          <t>pausar o anúncio</t>
        </is>
      </c>
    </row>
    <row r="26">
      <c r="A26" s="48" t="inlineStr">
        <is>
          <t>Taxa de gancho abaixo de 20%</t>
        </is>
      </c>
      <c r="B26" s="48" t="inlineStr">
        <is>
          <t>o começo não segura</t>
        </is>
      </c>
      <c r="C26" s="48" t="inlineStr">
        <is>
          <t>refazer os 3 primeiros segundos</t>
        </is>
      </c>
    </row>
    <row r="27">
      <c r="A27" s="48" t="inlineStr">
        <is>
          <t>Gancho bom e CTR do link abaixo de 0,5%</t>
        </is>
      </c>
      <c r="B27" s="48" t="inlineStr">
        <is>
          <t>prende mas não convida</t>
        </is>
      </c>
      <c r="C27" s="48" t="inlineStr">
        <is>
          <t>rever texto, oferta e botão</t>
        </is>
      </c>
    </row>
    <row r="28">
      <c r="A28" s="48" t="inlineStr">
        <is>
          <t>Custo por conversa na meta e conversão em reserva abaixo de 15%</t>
        </is>
      </c>
      <c r="B28" s="48" t="inlineStr">
        <is>
          <t>o problema não é o anúncio</t>
        </is>
      </c>
      <c r="C28" s="48" t="inlineStr">
        <is>
          <t>rever tempo de resposta e roteiro do WhatsApp</t>
        </is>
      </c>
    </row>
    <row r="29">
      <c r="A29" s="48" t="inlineStr">
        <is>
          <t>Frequência acima de 3 em 7 dias com CTR caindo</t>
        </is>
      </c>
      <c r="B29" s="48" t="inlineStr">
        <is>
          <t>cansaço do criativo</t>
        </is>
      </c>
      <c r="C29" s="48" t="inlineStr">
        <is>
          <t>entrar com criativo novo</t>
        </is>
      </c>
    </row>
    <row r="30">
      <c r="A30" s="48" t="inlineStr">
        <is>
          <t>Custo real por pessoa abaixo da meta por 2 semanas seguidas</t>
        </is>
      </c>
      <c r="B30" s="48" t="inlineStr">
        <is>
          <t>está dando certo</t>
        </is>
      </c>
      <c r="C30" s="48" t="inlineStr">
        <is>
          <t>subir a verba em até 20%, a cada 3 ou 4 dias</t>
        </is>
      </c>
    </row>
    <row r="31">
      <c r="A31" s="48" t="inlineStr">
        <is>
          <t>Custo real por pessoa acima do empate por 2 semanas seguidas</t>
        </is>
      </c>
      <c r="B31" s="48" t="inlineStr">
        <is>
          <t>está perdendo dinheiro</t>
        </is>
      </c>
      <c r="C31" s="48" t="inlineStr">
        <is>
          <t>baixar a verba ou pausar, e rever criativo e atendimento</t>
        </is>
      </c>
    </row>
    <row r="33">
      <c r="A33" s="3" t="inlineStr">
        <is>
          <t>Não mexa · a câmara de fermentação</t>
        </is>
      </c>
    </row>
    <row r="34">
      <c r="A34" s="49" t="inlineStr">
        <is>
          <t>·</t>
        </is>
      </c>
      <c r="B34" s="49" t="inlineStr">
        <is>
          <t>Verba muda no máximo 20% de cada vez.</t>
        </is>
      </c>
    </row>
    <row r="35">
      <c r="A35" s="49" t="inlineStr">
        <is>
          <t>·</t>
        </is>
      </c>
      <c r="B35" s="49" t="inlineStr">
        <is>
          <t>No máximo uma mudança a cada 3 ou 4 dias, e anotada na coluna Mudança da aba Semanal.</t>
        </is>
      </c>
    </row>
    <row r="36">
      <c r="A36" s="49" t="inlineStr">
        <is>
          <t>·</t>
        </is>
      </c>
      <c r="B36" s="49" t="inlineStr">
        <is>
          <t>Nada de pausar e reativar toda hora, nem duplicar conjunto para reiniciar a sorte.</t>
        </is>
      </c>
    </row>
    <row r="37">
      <c r="A37" s="49" t="inlineStr">
        <is>
          <t>·</t>
        </is>
      </c>
      <c r="B37" s="49" t="inlineStr">
        <is>
          <t>Julgar pela semana, nunca pelo dia.</t>
        </is>
      </c>
    </row>
    <row r="38">
      <c r="A38" s="49" t="inlineStr">
        <is>
          <t>·</t>
        </is>
      </c>
      <c r="B38" s="49" t="inlineStr">
        <is>
          <t>No meio do aprendizado, entrar com no máximo dois anúncios novos de uma vez.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2026-10-05T02:11:18Z</dcterms:created>
  <dcterms:modified xsi:type="dcterms:W3CDTF">2026-10-05T02:11:18Z</dcterms:modified>
</cp:coreProperties>
</file>